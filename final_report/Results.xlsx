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ni\practice\load-balancing-algorithms\final_report\"/>
    </mc:Choice>
  </mc:AlternateContent>
  <xr:revisionPtr revIDLastSave="0" documentId="13_ncr:1_{357D0730-86B9-46D3-B633-78B1732C26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undRobin" sheetId="3" r:id="rId1"/>
    <sheet name="WeightRoundRobin" sheetId="4" r:id="rId2"/>
    <sheet name="LeastConnections" sheetId="2" r:id="rId3"/>
    <sheet name="ConsistentHashing" sheetId="1" r:id="rId4"/>
    <sheet name="throughput_comparison" sheetId="5" r:id="rId5"/>
  </sheets>
  <calcPr calcId="181029"/>
</workbook>
</file>

<file path=xl/calcChain.xml><?xml version="1.0" encoding="utf-8"?>
<calcChain xmlns="http://schemas.openxmlformats.org/spreadsheetml/2006/main">
  <c r="F5" i="5" l="1"/>
  <c r="F3" i="5"/>
  <c r="G3" i="5"/>
  <c r="H3" i="5"/>
  <c r="F4" i="5"/>
  <c r="G4" i="5"/>
  <c r="H4" i="5"/>
  <c r="G5" i="5"/>
  <c r="H5" i="5"/>
  <c r="F6" i="5"/>
  <c r="G6" i="5"/>
  <c r="H6" i="5"/>
  <c r="F7" i="5"/>
  <c r="G7" i="5"/>
  <c r="H7" i="5"/>
  <c r="F8" i="5"/>
  <c r="G8" i="5"/>
  <c r="H8" i="5"/>
  <c r="F9" i="5"/>
  <c r="G9" i="5"/>
  <c r="H9" i="5"/>
  <c r="F10" i="5"/>
  <c r="G10" i="5"/>
  <c r="H10" i="5"/>
  <c r="F11" i="5"/>
  <c r="G11" i="5"/>
  <c r="H11" i="5"/>
  <c r="F12" i="5"/>
  <c r="G12" i="5"/>
  <c r="H12" i="5"/>
  <c r="F13" i="5"/>
  <c r="G13" i="5"/>
  <c r="H13" i="5"/>
  <c r="F14" i="5"/>
  <c r="G14" i="5"/>
  <c r="H14" i="5"/>
  <c r="F15" i="5"/>
  <c r="G15" i="5"/>
  <c r="H15" i="5"/>
  <c r="F16" i="5"/>
  <c r="G16" i="5"/>
  <c r="H16" i="5"/>
  <c r="F17" i="5"/>
  <c r="G17" i="5"/>
  <c r="H17" i="5"/>
  <c r="F18" i="5"/>
  <c r="G18" i="5"/>
  <c r="H18" i="5"/>
  <c r="F19" i="5"/>
  <c r="G19" i="5"/>
  <c r="H19" i="5"/>
  <c r="F20" i="5"/>
  <c r="G20" i="5"/>
  <c r="H20" i="5"/>
  <c r="F21" i="5"/>
  <c r="G21" i="5"/>
  <c r="H21" i="5"/>
  <c r="F22" i="5"/>
  <c r="G22" i="5"/>
  <c r="H22" i="5"/>
  <c r="F23" i="5"/>
  <c r="G23" i="5"/>
  <c r="H23" i="5"/>
  <c r="F24" i="5"/>
  <c r="G24" i="5"/>
  <c r="H24" i="5"/>
  <c r="F25" i="5"/>
  <c r="G25" i="5"/>
  <c r="H25" i="5"/>
  <c r="F26" i="5"/>
  <c r="G26" i="5"/>
  <c r="H26" i="5"/>
  <c r="F27" i="5"/>
  <c r="G27" i="5"/>
  <c r="H27" i="5"/>
  <c r="G2" i="5"/>
  <c r="H2" i="5"/>
  <c r="F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I19" i="5" s="1"/>
  <c r="C20" i="5"/>
  <c r="C21" i="5"/>
  <c r="C22" i="5"/>
  <c r="C23" i="5"/>
  <c r="C24" i="5"/>
  <c r="C25" i="5"/>
  <c r="C26" i="5"/>
  <c r="C27" i="5"/>
  <c r="C2" i="5"/>
  <c r="B3" i="5"/>
  <c r="B4" i="5"/>
  <c r="B5" i="5"/>
  <c r="I5" i="5" s="1"/>
  <c r="B6" i="5"/>
  <c r="B7" i="5"/>
  <c r="I7" i="5" s="1"/>
  <c r="B8" i="5"/>
  <c r="B9" i="5"/>
  <c r="B10" i="5"/>
  <c r="B11" i="5"/>
  <c r="I11" i="5" s="1"/>
  <c r="B12" i="5"/>
  <c r="J12" i="5" s="1"/>
  <c r="B13" i="5"/>
  <c r="B14" i="5"/>
  <c r="B15" i="5"/>
  <c r="J15" i="5" s="1"/>
  <c r="B16" i="5"/>
  <c r="J16" i="5" s="1"/>
  <c r="B17" i="5"/>
  <c r="B18" i="5"/>
  <c r="B19" i="5"/>
  <c r="B20" i="5"/>
  <c r="B21" i="5"/>
  <c r="B22" i="5"/>
  <c r="B23" i="5"/>
  <c r="B24" i="5"/>
  <c r="B25" i="5"/>
  <c r="I25" i="5" s="1"/>
  <c r="B26" i="5"/>
  <c r="B27" i="5"/>
  <c r="I27" i="5" s="1"/>
  <c r="B2" i="5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K12" i="5" l="1"/>
  <c r="K11" i="5"/>
  <c r="J18" i="5"/>
  <c r="I18" i="5"/>
  <c r="J17" i="5"/>
  <c r="I17" i="5"/>
  <c r="I24" i="5"/>
  <c r="I16" i="5"/>
  <c r="I3" i="5"/>
  <c r="K18" i="5"/>
  <c r="K2" i="5"/>
  <c r="K10" i="5"/>
  <c r="J26" i="5"/>
  <c r="K4" i="5"/>
  <c r="K23" i="5"/>
  <c r="J2" i="5"/>
  <c r="J10" i="5"/>
  <c r="K16" i="5"/>
  <c r="I12" i="5"/>
  <c r="I10" i="5"/>
  <c r="I2" i="5"/>
  <c r="I20" i="5"/>
  <c r="J19" i="5"/>
  <c r="K15" i="5"/>
  <c r="I15" i="5"/>
  <c r="J6" i="5"/>
  <c r="J21" i="5"/>
  <c r="J11" i="5"/>
  <c r="I26" i="5"/>
  <c r="K25" i="5"/>
  <c r="K17" i="5"/>
  <c r="K22" i="5"/>
  <c r="I14" i="5"/>
  <c r="K8" i="5"/>
  <c r="I13" i="5"/>
  <c r="I6" i="5"/>
  <c r="J8" i="5"/>
  <c r="K19" i="5"/>
  <c r="I8" i="5"/>
  <c r="K9" i="5"/>
  <c r="K5" i="5"/>
  <c r="I4" i="5"/>
  <c r="K3" i="5"/>
  <c r="J3" i="5"/>
  <c r="I23" i="5"/>
  <c r="J9" i="5"/>
  <c r="I9" i="5"/>
  <c r="I22" i="5"/>
  <c r="J23" i="5"/>
  <c r="K21" i="5"/>
  <c r="K14" i="5"/>
  <c r="K27" i="5"/>
  <c r="I21" i="5"/>
  <c r="J14" i="5"/>
  <c r="K7" i="5"/>
  <c r="K24" i="5"/>
  <c r="J24" i="5"/>
  <c r="J27" i="5"/>
  <c r="K20" i="5"/>
  <c r="J7" i="5"/>
  <c r="J5" i="5"/>
  <c r="J4" i="5"/>
  <c r="J22" i="5"/>
  <c r="J20" i="5"/>
  <c r="K13" i="5"/>
  <c r="K26" i="5"/>
  <c r="J13" i="5"/>
  <c r="K6" i="5"/>
  <c r="J25" i="5"/>
</calcChain>
</file>

<file path=xl/sharedStrings.xml><?xml version="1.0" encoding="utf-8"?>
<sst xmlns="http://schemas.openxmlformats.org/spreadsheetml/2006/main" count="172" uniqueCount="46">
  <si>
    <t>name</t>
  </si>
  <si>
    <t>latency.mean</t>
  </si>
  <si>
    <t>latency.percentiles.p50</t>
  </si>
  <si>
    <t>latency.percentiles.p95</t>
  </si>
  <si>
    <t>latency.percentiles.p99</t>
  </si>
  <si>
    <t>totals.throughput_rps</t>
  </si>
  <si>
    <t>burstNorm_easy</t>
  </si>
  <si>
    <t>burstNorm_medium</t>
  </si>
  <si>
    <t>burstNorm_hard</t>
  </si>
  <si>
    <t>burstNormHMS_easy</t>
  </si>
  <si>
    <t>burstNormHMS_medium</t>
  </si>
  <si>
    <t>burstNormHMS_hard</t>
  </si>
  <si>
    <t>churnHMS</t>
  </si>
  <si>
    <t>churnGood</t>
  </si>
  <si>
    <t>churnBad</t>
  </si>
  <si>
    <t>perfect_easy</t>
  </si>
  <si>
    <t>perfect_medium</t>
  </si>
  <si>
    <t>perfect_hard</t>
  </si>
  <si>
    <t>stickyDefault</t>
  </si>
  <si>
    <t>stickyChurn</t>
  </si>
  <si>
    <t>uniform_easy</t>
  </si>
  <si>
    <t>uniform_medium</t>
  </si>
  <si>
    <t>uniform_hard</t>
  </si>
  <si>
    <t>uniformD_easy</t>
  </si>
  <si>
    <t>uniformD_medium</t>
  </si>
  <si>
    <t>uniformD_hard</t>
  </si>
  <si>
    <t>varReqCost_easy</t>
  </si>
  <si>
    <t>varReqCost_medium</t>
  </si>
  <si>
    <t>varReqCost_hard</t>
  </si>
  <si>
    <t>varReqCostHMS_easy</t>
  </si>
  <si>
    <t>varReqCostHMS_medium</t>
  </si>
  <si>
    <t>varReqCostHMS_hard</t>
  </si>
  <si>
    <t>disparity</t>
  </si>
  <si>
    <t>consistent</t>
  </si>
  <si>
    <t>least</t>
  </si>
  <si>
    <t>RR</t>
  </si>
  <si>
    <t>WRR</t>
  </si>
  <si>
    <t>preset</t>
  </si>
  <si>
    <t>servers[0].peak_load</t>
  </si>
  <si>
    <t>servers[1].peak_load</t>
  </si>
  <si>
    <t>servers[2].peak_load</t>
  </si>
  <si>
    <t>servers[3].peak_load</t>
  </si>
  <si>
    <t>servers[4].peak_load</t>
  </si>
  <si>
    <t>servers[5].peak_load</t>
  </si>
  <si>
    <t>servers[6].peak_load</t>
  </si>
  <si>
    <t>servers[7].peak_load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</si>
</sst>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tabSelected="1" workbookViewId="0">
      <selection activeCell="E30" sqref="E30"/>
    </sheetView>
  </sheetViews>
  <sheetFormatPr defaultRowHeight="15" x14ac:dyDescent="0.25"/>
  <cols>
    <col min="1" max="7" width="20.7109375" customWidth="1"/>
    <col min="8" max="15" width="9.140625" style="6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32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5" t="s">
        <v>45</v>
      </c>
    </row>
    <row r="2" spans="1:15" x14ac:dyDescent="0.25">
      <c r="A2" t="s">
        <v>6</v>
      </c>
      <c r="B2">
        <v>28.978999999999999</v>
      </c>
      <c r="C2">
        <v>15</v>
      </c>
      <c r="D2">
        <v>75</v>
      </c>
      <c r="E2">
        <v>76</v>
      </c>
      <c r="F2">
        <v>66.631130063965884</v>
      </c>
      <c r="G2">
        <f>_xlfn.STDEV.P(H2:O2)/AVERAGE(H2:O2)</f>
        <v>0.79580589211221808</v>
      </c>
      <c r="H2" s="6">
        <v>0.77377062500000349</v>
      </c>
      <c r="I2" s="6">
        <v>0.56241399999999964</v>
      </c>
      <c r="J2" s="6">
        <v>0.11623804166666669</v>
      </c>
      <c r="K2" s="6">
        <v>5.8321000000000033E-2</v>
      </c>
    </row>
    <row r="3" spans="1:15" x14ac:dyDescent="0.25">
      <c r="A3" t="s">
        <v>7</v>
      </c>
      <c r="B3">
        <v>102.359911406423</v>
      </c>
      <c r="C3">
        <v>76</v>
      </c>
      <c r="D3">
        <v>212</v>
      </c>
      <c r="E3">
        <v>213</v>
      </c>
      <c r="F3">
        <v>45.116162877841617</v>
      </c>
      <c r="G3">
        <f t="shared" ref="G3:G27" si="0">_xlfn.STDEV.P(H3:O3)/AVERAGE(H3:O3)</f>
        <v>1.2585030652961946</v>
      </c>
      <c r="H3" s="6">
        <v>3.5601374999999991E-2</v>
      </c>
      <c r="I3" s="6">
        <v>1.986249999999995E-3</v>
      </c>
      <c r="J3" s="6">
        <v>7.8359583333333233E-3</v>
      </c>
      <c r="K3" s="6">
        <v>0</v>
      </c>
    </row>
    <row r="4" spans="1:15" x14ac:dyDescent="0.25">
      <c r="A4" t="s">
        <v>8</v>
      </c>
      <c r="B4">
        <v>808.37401574803152</v>
      </c>
      <c r="C4">
        <v>668</v>
      </c>
      <c r="D4">
        <v>2012</v>
      </c>
      <c r="E4">
        <v>2015</v>
      </c>
      <c r="F4">
        <v>8.463563360101297</v>
      </c>
      <c r="G4">
        <f t="shared" si="0"/>
        <v>1.7320508075688774</v>
      </c>
      <c r="H4" s="6">
        <v>0</v>
      </c>
      <c r="I4" s="6">
        <v>0</v>
      </c>
      <c r="J4" s="6">
        <v>4.5072333333333298E-2</v>
      </c>
      <c r="K4" s="6">
        <v>0</v>
      </c>
    </row>
    <row r="5" spans="1:15" x14ac:dyDescent="0.25">
      <c r="A5" t="s">
        <v>9</v>
      </c>
      <c r="B5">
        <v>23.388999999999999</v>
      </c>
      <c r="C5">
        <v>29</v>
      </c>
      <c r="D5">
        <v>44</v>
      </c>
      <c r="E5">
        <v>45</v>
      </c>
      <c r="F5">
        <v>66.657778962804954</v>
      </c>
      <c r="G5">
        <f t="shared" si="0"/>
        <v>5.9172190759749122E-4</v>
      </c>
      <c r="H5" s="6">
        <v>0.76267924999999803</v>
      </c>
      <c r="I5" s="6">
        <v>0.76335674999999881</v>
      </c>
      <c r="J5" s="6">
        <v>0.76232424999999859</v>
      </c>
      <c r="K5" s="6">
        <v>0.76338099999999876</v>
      </c>
    </row>
    <row r="6" spans="1:15" x14ac:dyDescent="0.25">
      <c r="A6" t="s">
        <v>10</v>
      </c>
      <c r="B6">
        <v>105.526</v>
      </c>
      <c r="C6">
        <v>105</v>
      </c>
      <c r="D6">
        <v>107</v>
      </c>
      <c r="E6">
        <v>108</v>
      </c>
      <c r="F6">
        <v>49.962528103922047</v>
      </c>
      <c r="G6">
        <f t="shared" si="0"/>
        <v>0.91783268792765182</v>
      </c>
      <c r="H6" s="6">
        <v>3.8351749999999997E-2</v>
      </c>
      <c r="I6" s="6">
        <v>1.473249999999995E-3</v>
      </c>
      <c r="J6" s="6">
        <v>1.8074999999999901E-3</v>
      </c>
      <c r="K6" s="6">
        <v>3.8200499999999998E-2</v>
      </c>
    </row>
    <row r="7" spans="1:15" x14ac:dyDescent="0.25">
      <c r="A7" t="s">
        <v>11</v>
      </c>
      <c r="B7">
        <v>1011.153465346535</v>
      </c>
      <c r="C7">
        <v>1012</v>
      </c>
      <c r="D7">
        <v>1015</v>
      </c>
      <c r="E7">
        <v>1024</v>
      </c>
      <c r="F7">
        <v>6.7317625887292962</v>
      </c>
      <c r="G7">
        <f t="shared" si="0"/>
        <v>1.7320508075688772</v>
      </c>
      <c r="H7" s="6">
        <v>0</v>
      </c>
      <c r="I7" s="6">
        <v>1.530674999999998E-2</v>
      </c>
      <c r="J7" s="6">
        <v>0</v>
      </c>
      <c r="K7" s="6">
        <v>0</v>
      </c>
    </row>
    <row r="8" spans="1:15" x14ac:dyDescent="0.25">
      <c r="A8" t="s">
        <v>12</v>
      </c>
      <c r="B8">
        <v>105.345251396648</v>
      </c>
      <c r="C8">
        <v>105</v>
      </c>
      <c r="D8">
        <v>107</v>
      </c>
      <c r="E8">
        <v>107</v>
      </c>
      <c r="F8">
        <v>29.819417605117611</v>
      </c>
      <c r="G8">
        <f t="shared" si="0"/>
        <v>0.32639487015852175</v>
      </c>
      <c r="H8" s="6">
        <v>3.8357000000000002E-2</v>
      </c>
      <c r="I8" s="6">
        <v>3.8006499999999999E-2</v>
      </c>
      <c r="J8" s="6">
        <v>3.9083499999999993E-2</v>
      </c>
      <c r="K8" s="6">
        <v>7.4956999999999996E-2</v>
      </c>
      <c r="L8" s="6">
        <v>3.7241000000000003E-2</v>
      </c>
      <c r="M8" s="6">
        <v>4.3316999999999987E-2</v>
      </c>
      <c r="N8" s="6">
        <v>7.4969499999999994E-2</v>
      </c>
      <c r="O8" s="6">
        <v>3.8038250000000003E-2</v>
      </c>
    </row>
    <row r="9" spans="1:15" x14ac:dyDescent="0.25">
      <c r="A9" t="s">
        <v>13</v>
      </c>
      <c r="B9">
        <v>146.87338129496399</v>
      </c>
      <c r="C9">
        <v>106</v>
      </c>
      <c r="D9">
        <v>213</v>
      </c>
      <c r="E9">
        <v>214</v>
      </c>
      <c r="F9">
        <v>23.158947017660779</v>
      </c>
      <c r="G9">
        <f t="shared" si="0"/>
        <v>0.59623685409186888</v>
      </c>
      <c r="H9" s="6">
        <v>3.8089249999999991E-2</v>
      </c>
      <c r="I9" s="6">
        <v>7.4977000000000002E-2</v>
      </c>
      <c r="J9" s="6">
        <v>7.4984999999999996E-2</v>
      </c>
      <c r="K9" s="6">
        <v>7.3176749999999985E-2</v>
      </c>
      <c r="L9" s="6">
        <v>1.537499999999997E-3</v>
      </c>
      <c r="M9" s="6">
        <v>3.0055000000000082E-3</v>
      </c>
      <c r="N9" s="6">
        <v>7.1667499999999995E-2</v>
      </c>
      <c r="O9" s="6">
        <v>7.4966999999999992E-2</v>
      </c>
    </row>
    <row r="10" spans="1:15" x14ac:dyDescent="0.25">
      <c r="A10" t="s">
        <v>14</v>
      </c>
      <c r="B10">
        <v>83.073333333333338</v>
      </c>
      <c r="C10">
        <v>74</v>
      </c>
      <c r="D10">
        <v>209</v>
      </c>
      <c r="E10">
        <v>212</v>
      </c>
      <c r="F10">
        <v>29.997000299970001</v>
      </c>
      <c r="G10">
        <f t="shared" si="0"/>
        <v>0.52971796865685827</v>
      </c>
      <c r="H10" s="6">
        <v>5.7484499999999987E-2</v>
      </c>
      <c r="I10" s="6">
        <v>5.7466499999999997E-2</v>
      </c>
      <c r="J10" s="6">
        <v>4.2593499999999999E-2</v>
      </c>
      <c r="K10" s="6">
        <v>6.3323208333333325E-2</v>
      </c>
      <c r="L10" s="6">
        <v>7.4991500000000003E-2</v>
      </c>
      <c r="M10" s="6">
        <v>1.761349999999999E-2</v>
      </c>
      <c r="N10" s="6">
        <v>3.8959999999999988E-2</v>
      </c>
      <c r="O10" s="6">
        <v>0</v>
      </c>
    </row>
    <row r="11" spans="1:15" x14ac:dyDescent="0.25">
      <c r="A11" t="s">
        <v>15</v>
      </c>
      <c r="B11">
        <v>14.353</v>
      </c>
      <c r="C11">
        <v>14</v>
      </c>
      <c r="D11">
        <v>15</v>
      </c>
      <c r="E11">
        <v>15</v>
      </c>
      <c r="F11">
        <v>66.653335999466776</v>
      </c>
      <c r="G11">
        <f t="shared" si="0"/>
        <v>0.20606623856980638</v>
      </c>
      <c r="H11" s="6">
        <v>2.7642500000000011E-2</v>
      </c>
      <c r="I11" s="6">
        <v>2.670599999999999E-2</v>
      </c>
      <c r="J11" s="6">
        <v>2.6876750000000001E-2</v>
      </c>
      <c r="K11" s="6">
        <v>4.1674000000000003E-2</v>
      </c>
    </row>
    <row r="12" spans="1:15" x14ac:dyDescent="0.25">
      <c r="A12" t="s">
        <v>16</v>
      </c>
      <c r="B12">
        <v>105.488</v>
      </c>
      <c r="C12">
        <v>105</v>
      </c>
      <c r="D12">
        <v>107</v>
      </c>
      <c r="E12">
        <v>108</v>
      </c>
      <c r="F12">
        <v>66.640010662401707</v>
      </c>
      <c r="G12">
        <f t="shared" si="0"/>
        <v>0.63999795009153204</v>
      </c>
      <c r="H12" s="6">
        <v>6.8628499999999995E-2</v>
      </c>
      <c r="I12" s="6">
        <v>3.8783749999999999E-2</v>
      </c>
      <c r="J12" s="6">
        <v>3.8711000000000002E-2</v>
      </c>
      <c r="K12" s="6">
        <v>1.848499999999989E-3</v>
      </c>
    </row>
    <row r="13" spans="1:15" x14ac:dyDescent="0.25">
      <c r="A13" t="s">
        <v>17</v>
      </c>
      <c r="B13">
        <v>1008.08</v>
      </c>
      <c r="C13">
        <v>1010</v>
      </c>
      <c r="D13">
        <v>1014</v>
      </c>
      <c r="E13">
        <v>1015</v>
      </c>
      <c r="F13">
        <v>6.6635570067301924</v>
      </c>
      <c r="G13" t="e">
        <f t="shared" si="0"/>
        <v>#DIV/0!</v>
      </c>
      <c r="H13" s="6">
        <v>0</v>
      </c>
      <c r="I13" s="6">
        <v>0</v>
      </c>
      <c r="J13" s="6">
        <v>0</v>
      </c>
      <c r="K13" s="6">
        <v>0</v>
      </c>
    </row>
    <row r="14" spans="1:15" x14ac:dyDescent="0.25">
      <c r="A14" t="s">
        <v>18</v>
      </c>
      <c r="B14">
        <v>112.6744791666667</v>
      </c>
      <c r="C14">
        <v>102</v>
      </c>
      <c r="D14">
        <v>212</v>
      </c>
      <c r="E14">
        <v>213</v>
      </c>
      <c r="F14">
        <v>25.581240423689291</v>
      </c>
      <c r="G14">
        <f t="shared" si="0"/>
        <v>1.0577360880005604</v>
      </c>
      <c r="H14" s="6">
        <v>9.1632249999999985E-2</v>
      </c>
      <c r="I14" s="6">
        <v>3.7787000000000001E-2</v>
      </c>
      <c r="J14" s="6">
        <v>7.118583333333324E-3</v>
      </c>
      <c r="K14" s="6">
        <v>0</v>
      </c>
    </row>
    <row r="15" spans="1:15" x14ac:dyDescent="0.25">
      <c r="A15" t="s">
        <v>19</v>
      </c>
      <c r="B15">
        <v>84.656424581005581</v>
      </c>
      <c r="C15">
        <v>104</v>
      </c>
      <c r="D15">
        <v>106</v>
      </c>
      <c r="E15">
        <v>107</v>
      </c>
      <c r="F15">
        <v>23.846000133217881</v>
      </c>
      <c r="G15">
        <f t="shared" si="0"/>
        <v>2.6299453404553472</v>
      </c>
      <c r="H15" s="6">
        <v>3.7974000000000001E-2</v>
      </c>
      <c r="I15" s="6">
        <v>0</v>
      </c>
      <c r="J15" s="6">
        <v>0</v>
      </c>
      <c r="K15" s="6">
        <v>2.000000000000057E-4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25">
      <c r="A16" t="s">
        <v>20</v>
      </c>
      <c r="B16">
        <v>14.401999999999999</v>
      </c>
      <c r="C16">
        <v>14</v>
      </c>
      <c r="D16">
        <v>15</v>
      </c>
      <c r="E16">
        <v>15</v>
      </c>
      <c r="F16">
        <v>66.608938919603006</v>
      </c>
      <c r="G16">
        <f t="shared" si="0"/>
        <v>0.92629242911620568</v>
      </c>
      <c r="H16" s="6">
        <v>4.8615125000000009E-2</v>
      </c>
      <c r="I16" s="6">
        <v>2.6470750000000001E-2</v>
      </c>
      <c r="J16" s="6">
        <v>6.7317083333333291E-3</v>
      </c>
      <c r="K16" s="6">
        <v>0</v>
      </c>
    </row>
    <row r="17" spans="1:11" x14ac:dyDescent="0.25">
      <c r="A17" t="s">
        <v>21</v>
      </c>
      <c r="B17">
        <v>100.9280898876405</v>
      </c>
      <c r="C17">
        <v>76</v>
      </c>
      <c r="D17">
        <v>212</v>
      </c>
      <c r="E17">
        <v>214</v>
      </c>
      <c r="F17">
        <v>59.301705756929643</v>
      </c>
      <c r="G17">
        <f t="shared" si="0"/>
        <v>0.5259485769770128</v>
      </c>
      <c r="H17" s="6">
        <v>7.2055749999999988E-2</v>
      </c>
      <c r="I17" s="6">
        <v>4.1689999999999998E-2</v>
      </c>
      <c r="J17" s="6">
        <v>8.4704583333333264E-3</v>
      </c>
      <c r="K17" s="6">
        <v>5.7320500000000003E-2</v>
      </c>
    </row>
    <row r="18" spans="1:11" x14ac:dyDescent="0.25">
      <c r="A18" t="s">
        <v>22</v>
      </c>
      <c r="B18">
        <v>920.3295454545455</v>
      </c>
      <c r="C18">
        <v>680</v>
      </c>
      <c r="D18">
        <v>2007</v>
      </c>
      <c r="E18">
        <v>2013</v>
      </c>
      <c r="F18">
        <v>5.8658845487268358</v>
      </c>
      <c r="G18">
        <f t="shared" si="0"/>
        <v>1.7320508075688774</v>
      </c>
      <c r="H18" s="6">
        <v>0</v>
      </c>
      <c r="I18" s="6">
        <v>0</v>
      </c>
      <c r="J18" s="6">
        <v>0</v>
      </c>
      <c r="K18" s="6">
        <v>6.1419000000000001E-2</v>
      </c>
    </row>
    <row r="19" spans="1:11" x14ac:dyDescent="0.25">
      <c r="A19" t="s">
        <v>23</v>
      </c>
      <c r="B19">
        <v>14.423</v>
      </c>
      <c r="C19">
        <v>14</v>
      </c>
      <c r="D19">
        <v>15</v>
      </c>
      <c r="E19">
        <v>15</v>
      </c>
      <c r="F19">
        <v>66.600066600066597</v>
      </c>
      <c r="G19">
        <f t="shared" si="0"/>
        <v>0.92854729439627059</v>
      </c>
      <c r="H19" s="6">
        <v>5.2435986690283813E-2</v>
      </c>
      <c r="I19" s="6">
        <v>2.6957089954833601E-2</v>
      </c>
      <c r="J19" s="6">
        <v>7.7642042988866414E-3</v>
      </c>
      <c r="K19" s="6">
        <v>0</v>
      </c>
    </row>
    <row r="20" spans="1:11" x14ac:dyDescent="0.25">
      <c r="A20" t="s">
        <v>24</v>
      </c>
      <c r="B20">
        <v>99.865470852017935</v>
      </c>
      <c r="C20">
        <v>76</v>
      </c>
      <c r="D20">
        <v>227</v>
      </c>
      <c r="E20">
        <v>273</v>
      </c>
      <c r="F20">
        <v>59.454775711524363</v>
      </c>
      <c r="G20">
        <f t="shared" si="0"/>
        <v>0.25829011778216948</v>
      </c>
      <c r="H20" s="6">
        <v>0.1171773935279512</v>
      </c>
      <c r="I20" s="6">
        <v>8.478348065864065E-2</v>
      </c>
      <c r="J20" s="6">
        <v>6.9877937395711812E-2</v>
      </c>
      <c r="K20" s="6">
        <v>6.0634725928303407E-2</v>
      </c>
    </row>
    <row r="21" spans="1:11" x14ac:dyDescent="0.25">
      <c r="A21" t="s">
        <v>25</v>
      </c>
      <c r="B21">
        <v>942.82022471910113</v>
      </c>
      <c r="C21">
        <v>768</v>
      </c>
      <c r="D21">
        <v>2299</v>
      </c>
      <c r="E21">
        <v>2808</v>
      </c>
      <c r="F21">
        <v>5.9325423276896414</v>
      </c>
      <c r="G21">
        <f t="shared" si="0"/>
        <v>1.1032653784048558</v>
      </c>
      <c r="H21" s="6">
        <v>0.6451979641655341</v>
      </c>
      <c r="I21" s="6">
        <v>0</v>
      </c>
      <c r="J21" s="6">
        <v>0.21494664531684821</v>
      </c>
      <c r="K21" s="6">
        <v>5.6425070582393433E-2</v>
      </c>
    </row>
    <row r="22" spans="1:11" x14ac:dyDescent="0.25">
      <c r="A22" t="s">
        <v>26</v>
      </c>
      <c r="B22">
        <v>101.75826681870009</v>
      </c>
      <c r="C22">
        <v>77</v>
      </c>
      <c r="D22">
        <v>316</v>
      </c>
      <c r="E22">
        <v>408</v>
      </c>
      <c r="F22">
        <v>58.419930722088992</v>
      </c>
      <c r="G22">
        <f t="shared" si="0"/>
        <v>0.28513902246877948</v>
      </c>
      <c r="H22" s="6">
        <v>0.1511974685902101</v>
      </c>
      <c r="I22" s="6">
        <v>0.1061591827406024</v>
      </c>
      <c r="J22" s="6">
        <v>8.3725158525336574E-2</v>
      </c>
      <c r="K22" s="6">
        <v>7.4540440705516964E-2</v>
      </c>
    </row>
    <row r="23" spans="1:11" x14ac:dyDescent="0.25">
      <c r="A23" t="s">
        <v>27</v>
      </c>
      <c r="B23">
        <v>466.29050279329613</v>
      </c>
      <c r="C23">
        <v>407</v>
      </c>
      <c r="D23">
        <v>1289</v>
      </c>
      <c r="E23">
        <v>1994</v>
      </c>
      <c r="F23">
        <v>11.92141192141192</v>
      </c>
      <c r="G23">
        <f t="shared" si="0"/>
        <v>0.727179395577218</v>
      </c>
      <c r="H23" s="6">
        <v>0.60150080095411163</v>
      </c>
      <c r="I23" s="6">
        <v>0.34879786433386339</v>
      </c>
      <c r="J23" s="6">
        <v>0.1701562775780982</v>
      </c>
      <c r="K23" s="6">
        <v>3.9167780782898481E-2</v>
      </c>
    </row>
    <row r="24" spans="1:11" x14ac:dyDescent="0.25">
      <c r="A24" t="s">
        <v>28</v>
      </c>
      <c r="B24">
        <v>1101.3498349834981</v>
      </c>
      <c r="C24">
        <v>966</v>
      </c>
      <c r="D24">
        <v>2492</v>
      </c>
      <c r="E24">
        <v>4198</v>
      </c>
      <c r="F24">
        <v>6.0585459489722462</v>
      </c>
      <c r="G24">
        <f t="shared" si="0"/>
        <v>0.35260180022421994</v>
      </c>
      <c r="H24" s="6">
        <v>0.44144891359977068</v>
      </c>
      <c r="I24" s="6">
        <v>0.75372487032176283</v>
      </c>
      <c r="J24" s="6">
        <v>0.46164989904052112</v>
      </c>
      <c r="K24" s="6">
        <v>0.28015123692014421</v>
      </c>
    </row>
    <row r="25" spans="1:11" x14ac:dyDescent="0.25">
      <c r="A25" t="s">
        <v>29</v>
      </c>
      <c r="B25">
        <v>109.288</v>
      </c>
      <c r="C25">
        <v>107</v>
      </c>
      <c r="D25">
        <v>197</v>
      </c>
      <c r="E25">
        <v>211</v>
      </c>
      <c r="F25">
        <v>66.617813603357547</v>
      </c>
      <c r="G25">
        <f t="shared" si="0"/>
        <v>6.1202407475289836E-2</v>
      </c>
      <c r="H25" s="6">
        <v>0.11217971031270629</v>
      </c>
      <c r="I25" s="6">
        <v>9.5400997761563064E-2</v>
      </c>
      <c r="J25" s="6">
        <v>0.1057809252880049</v>
      </c>
      <c r="K25" s="6">
        <v>9.9773825317829232E-2</v>
      </c>
    </row>
    <row r="26" spans="1:11" x14ac:dyDescent="0.25">
      <c r="A26" t="s">
        <v>30</v>
      </c>
      <c r="B26">
        <v>515.18499999999995</v>
      </c>
      <c r="C26">
        <v>529</v>
      </c>
      <c r="D26">
        <v>984</v>
      </c>
      <c r="E26">
        <v>1273</v>
      </c>
      <c r="F26">
        <v>13.322675193178791</v>
      </c>
      <c r="G26">
        <f t="shared" si="0"/>
        <v>9.9082618224850524E-2</v>
      </c>
      <c r="H26" s="6">
        <v>0.26438161579231878</v>
      </c>
      <c r="I26" s="6">
        <v>0.34732836433386338</v>
      </c>
      <c r="J26" s="6">
        <v>0.2957643905508614</v>
      </c>
      <c r="K26" s="6">
        <v>0.31785712664930532</v>
      </c>
    </row>
    <row r="27" spans="1:11" x14ac:dyDescent="0.25">
      <c r="A27" t="s">
        <v>31</v>
      </c>
      <c r="B27">
        <v>1346.4912280701751</v>
      </c>
      <c r="C27">
        <v>1327</v>
      </c>
      <c r="D27">
        <v>2436</v>
      </c>
      <c r="E27">
        <v>2496</v>
      </c>
      <c r="F27">
        <v>5.6992021117043619</v>
      </c>
      <c r="G27">
        <f t="shared" si="0"/>
        <v>0.1081924599028033</v>
      </c>
      <c r="H27" s="6">
        <v>0.76490189782260876</v>
      </c>
      <c r="I27" s="6">
        <v>0.60490537032176284</v>
      </c>
      <c r="J27" s="6">
        <v>0.78825294819237113</v>
      </c>
      <c r="K27" s="6">
        <v>0.65384648331500561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workbookViewId="0">
      <selection activeCell="G29" sqref="G29"/>
    </sheetView>
  </sheetViews>
  <sheetFormatPr defaultRowHeight="15" x14ac:dyDescent="0.25"/>
  <cols>
    <col min="1" max="7" width="20.7109375" customWidth="1"/>
    <col min="8" max="15" width="9.140625" style="6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32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5" t="s">
        <v>45</v>
      </c>
    </row>
    <row r="2" spans="1:15" x14ac:dyDescent="0.25">
      <c r="A2" t="s">
        <v>6</v>
      </c>
      <c r="B2">
        <v>17.315999999999999</v>
      </c>
      <c r="C2">
        <v>15</v>
      </c>
      <c r="D2">
        <v>30</v>
      </c>
      <c r="E2">
        <v>45</v>
      </c>
      <c r="F2">
        <v>66.622251832111928</v>
      </c>
      <c r="G2">
        <f>_xlfn.STDEV.P(H2:O2)/AVERAGE(H2:O2)</f>
        <v>0.19839320178881362</v>
      </c>
      <c r="H2" s="6">
        <v>0.4815631250000002</v>
      </c>
      <c r="I2" s="6">
        <v>0.5465817499999992</v>
      </c>
      <c r="J2" s="6">
        <v>0.40892991666666723</v>
      </c>
      <c r="K2" s="6">
        <v>0.31306849999999842</v>
      </c>
    </row>
    <row r="3" spans="1:15" x14ac:dyDescent="0.25">
      <c r="A3" t="s">
        <v>7</v>
      </c>
      <c r="B3">
        <v>88.944999999999993</v>
      </c>
      <c r="C3">
        <v>75</v>
      </c>
      <c r="D3">
        <v>212</v>
      </c>
      <c r="E3">
        <v>213</v>
      </c>
      <c r="F3">
        <v>49.97501249375312</v>
      </c>
      <c r="G3">
        <f t="shared" ref="G3:G27" si="0">_xlfn.STDEV.P(H3:O3)/AVERAGE(H3:O3)</f>
        <v>0.63640192254946171</v>
      </c>
      <c r="H3" s="6">
        <v>7.3326749999999982E-2</v>
      </c>
      <c r="I3" s="6">
        <v>4.0834000000000002E-2</v>
      </c>
      <c r="J3" s="6">
        <v>0</v>
      </c>
      <c r="K3" s="6">
        <v>5.7498999999999988E-2</v>
      </c>
    </row>
    <row r="4" spans="1:15" x14ac:dyDescent="0.25">
      <c r="A4" t="s">
        <v>8</v>
      </c>
      <c r="B4">
        <v>811.00796812749002</v>
      </c>
      <c r="C4">
        <v>668</v>
      </c>
      <c r="D4">
        <v>2009</v>
      </c>
      <c r="E4">
        <v>2014</v>
      </c>
      <c r="F4">
        <v>8.3655512598320225</v>
      </c>
      <c r="G4" t="e">
        <f t="shared" si="0"/>
        <v>#DIV/0!</v>
      </c>
      <c r="H4" s="6">
        <v>0</v>
      </c>
      <c r="I4" s="6">
        <v>0</v>
      </c>
      <c r="J4" s="6">
        <v>0</v>
      </c>
      <c r="K4" s="6">
        <v>0</v>
      </c>
    </row>
    <row r="5" spans="1:15" x14ac:dyDescent="0.25">
      <c r="A5" t="s">
        <v>9</v>
      </c>
      <c r="B5">
        <v>25.643999999999998</v>
      </c>
      <c r="C5">
        <v>29</v>
      </c>
      <c r="D5">
        <v>45</v>
      </c>
      <c r="E5">
        <v>45</v>
      </c>
      <c r="F5">
        <v>66.644451849383529</v>
      </c>
      <c r="G5">
        <f t="shared" si="0"/>
        <v>4.5662101665103032E-4</v>
      </c>
      <c r="H5" s="6">
        <v>0.76275024999999841</v>
      </c>
      <c r="I5" s="6">
        <v>0.76234024999999961</v>
      </c>
      <c r="J5" s="6">
        <v>0.76211074999999806</v>
      </c>
      <c r="K5" s="6">
        <v>0.76179524999999826</v>
      </c>
    </row>
    <row r="6" spans="1:15" x14ac:dyDescent="0.25">
      <c r="A6" t="s">
        <v>10</v>
      </c>
      <c r="B6">
        <v>105.611</v>
      </c>
      <c r="C6">
        <v>105</v>
      </c>
      <c r="D6">
        <v>107</v>
      </c>
      <c r="E6">
        <v>110</v>
      </c>
      <c r="F6">
        <v>49.980007996801277</v>
      </c>
      <c r="G6">
        <f t="shared" si="0"/>
        <v>0.21232163174342164</v>
      </c>
      <c r="H6" s="6">
        <v>4.1913499999999999E-2</v>
      </c>
      <c r="I6" s="6">
        <v>7.497224999999999E-2</v>
      </c>
      <c r="J6" s="6">
        <v>7.4986749999999991E-2</v>
      </c>
      <c r="K6" s="6">
        <v>7.3058999999999999E-2</v>
      </c>
    </row>
    <row r="7" spans="1:15" x14ac:dyDescent="0.25">
      <c r="A7" t="s">
        <v>11</v>
      </c>
      <c r="B7">
        <v>1019.205</v>
      </c>
      <c r="C7">
        <v>1011</v>
      </c>
      <c r="D7">
        <v>1014</v>
      </c>
      <c r="E7">
        <v>1439</v>
      </c>
      <c r="F7">
        <v>6.6660000666600014</v>
      </c>
      <c r="G7" t="e">
        <f t="shared" si="0"/>
        <v>#DIV/0!</v>
      </c>
      <c r="H7" s="6">
        <v>0</v>
      </c>
      <c r="I7" s="6">
        <v>0</v>
      </c>
      <c r="J7" s="6">
        <v>0</v>
      </c>
      <c r="K7" s="6">
        <v>0</v>
      </c>
    </row>
    <row r="8" spans="1:15" x14ac:dyDescent="0.25">
      <c r="A8" t="s">
        <v>12</v>
      </c>
      <c r="B8">
        <v>105.2707865168539</v>
      </c>
      <c r="C8">
        <v>105</v>
      </c>
      <c r="D8">
        <v>106</v>
      </c>
      <c r="E8">
        <v>116</v>
      </c>
      <c r="F8">
        <v>29.661723046158979</v>
      </c>
      <c r="G8">
        <f t="shared" si="0"/>
        <v>0.48932224442931382</v>
      </c>
      <c r="H8" s="6">
        <v>3.8446499999999988E-2</v>
      </c>
      <c r="I8" s="6">
        <v>7.4983750000000002E-2</v>
      </c>
      <c r="J8" s="6">
        <v>3.8210749999999988E-2</v>
      </c>
      <c r="K8" s="6">
        <v>7.4998250000000002E-2</v>
      </c>
      <c r="L8" s="6">
        <v>3.9084999999999988E-2</v>
      </c>
      <c r="M8" s="6">
        <v>1.448499999999991E-3</v>
      </c>
      <c r="N8" s="6">
        <v>7.4969250000000001E-2</v>
      </c>
      <c r="O8" s="6">
        <v>7.4916499999999997E-2</v>
      </c>
    </row>
    <row r="9" spans="1:15" x14ac:dyDescent="0.25">
      <c r="A9" t="s">
        <v>13</v>
      </c>
      <c r="B9">
        <v>142.80880330123799</v>
      </c>
      <c r="C9">
        <v>106</v>
      </c>
      <c r="D9">
        <v>212</v>
      </c>
      <c r="E9">
        <v>214</v>
      </c>
      <c r="F9">
        <v>24.221222721972349</v>
      </c>
      <c r="G9">
        <f t="shared" si="0"/>
        <v>1.0244878836647069</v>
      </c>
      <c r="H9" s="6">
        <v>3.6464499999999983E-2</v>
      </c>
      <c r="I9" s="6">
        <v>7.4981499999999993E-2</v>
      </c>
      <c r="J9" s="6">
        <v>0</v>
      </c>
      <c r="K9" s="6">
        <v>7.3045499999999985E-2</v>
      </c>
      <c r="L9" s="6">
        <v>4.9079999999999957E-3</v>
      </c>
      <c r="M9" s="6">
        <v>0</v>
      </c>
      <c r="N9" s="6">
        <v>7.2950999999999988E-2</v>
      </c>
      <c r="O9" s="6">
        <v>0</v>
      </c>
    </row>
    <row r="10" spans="1:15" x14ac:dyDescent="0.25">
      <c r="A10" t="s">
        <v>14</v>
      </c>
      <c r="B10">
        <v>79.888407367280607</v>
      </c>
      <c r="C10">
        <v>74</v>
      </c>
      <c r="D10">
        <v>121</v>
      </c>
      <c r="E10">
        <v>213</v>
      </c>
      <c r="F10">
        <v>30.759489452461089</v>
      </c>
      <c r="G10">
        <f t="shared" si="0"/>
        <v>0.42514175835193979</v>
      </c>
      <c r="H10" s="6">
        <v>5.7482999999999992E-2</v>
      </c>
      <c r="I10" s="6">
        <v>5.3049999999999903E-3</v>
      </c>
      <c r="J10" s="6">
        <v>3.8695749999999987E-2</v>
      </c>
      <c r="K10" s="6">
        <v>6.3322083333333321E-2</v>
      </c>
      <c r="L10" s="6">
        <v>7.4998499999999996E-2</v>
      </c>
      <c r="M10" s="6">
        <v>9.1114749999999994E-2</v>
      </c>
      <c r="N10" s="6">
        <v>7.4924249999999998E-2</v>
      </c>
      <c r="O10" s="6">
        <v>5.7486500000000003E-2</v>
      </c>
    </row>
    <row r="11" spans="1:15" x14ac:dyDescent="0.25">
      <c r="A11" t="s">
        <v>15</v>
      </c>
      <c r="B11">
        <v>14.391999999999999</v>
      </c>
      <c r="C11">
        <v>14</v>
      </c>
      <c r="D11">
        <v>15</v>
      </c>
      <c r="E11">
        <v>15</v>
      </c>
      <c r="F11">
        <v>66.657778962804954</v>
      </c>
      <c r="G11">
        <f t="shared" si="0"/>
        <v>8.0559430573386145E-2</v>
      </c>
      <c r="H11" s="6">
        <v>0.15040424999999999</v>
      </c>
      <c r="I11" s="6">
        <v>0.16978850000000001</v>
      </c>
      <c r="J11" s="6">
        <v>0.16873225</v>
      </c>
      <c r="K11" s="6">
        <v>0.18900225000000001</v>
      </c>
    </row>
    <row r="12" spans="1:15" x14ac:dyDescent="0.25">
      <c r="A12" t="s">
        <v>16</v>
      </c>
      <c r="B12">
        <v>105.328</v>
      </c>
      <c r="C12">
        <v>105</v>
      </c>
      <c r="D12">
        <v>107</v>
      </c>
      <c r="E12">
        <v>107</v>
      </c>
      <c r="F12">
        <v>66.608938919603006</v>
      </c>
      <c r="G12">
        <f t="shared" si="0"/>
        <v>0.23686054908138046</v>
      </c>
      <c r="H12" s="6">
        <v>3.8859749999999998E-2</v>
      </c>
      <c r="I12" s="6">
        <v>7.4949749999999996E-2</v>
      </c>
      <c r="J12" s="6">
        <v>7.4860499999999996E-2</v>
      </c>
      <c r="K12" s="6">
        <v>7.4899250000000001E-2</v>
      </c>
    </row>
    <row r="13" spans="1:15" x14ac:dyDescent="0.25">
      <c r="A13" t="s">
        <v>17</v>
      </c>
      <c r="B13">
        <v>1016.36170212766</v>
      </c>
      <c r="C13">
        <v>1012</v>
      </c>
      <c r="D13">
        <v>1015</v>
      </c>
      <c r="E13">
        <v>1440</v>
      </c>
      <c r="F13">
        <v>6.2654135839498766</v>
      </c>
      <c r="G13" t="e">
        <f t="shared" si="0"/>
        <v>#DIV/0!</v>
      </c>
      <c r="H13" s="6">
        <v>0</v>
      </c>
      <c r="I13" s="6">
        <v>0</v>
      </c>
      <c r="J13" s="6">
        <v>0</v>
      </c>
      <c r="K13" s="6">
        <v>0</v>
      </c>
    </row>
    <row r="14" spans="1:15" x14ac:dyDescent="0.25">
      <c r="A14" t="s">
        <v>18</v>
      </c>
      <c r="B14">
        <v>90.096103896103898</v>
      </c>
      <c r="C14">
        <v>75</v>
      </c>
      <c r="D14">
        <v>211</v>
      </c>
      <c r="E14">
        <v>226</v>
      </c>
      <c r="F14">
        <v>25.661534359794711</v>
      </c>
      <c r="G14">
        <f t="shared" si="0"/>
        <v>0.18041303017644564</v>
      </c>
      <c r="H14" s="6">
        <v>9.138099999999999E-2</v>
      </c>
      <c r="I14" s="6">
        <v>7.4948749999999995E-2</v>
      </c>
      <c r="J14" s="6">
        <v>6.3315708333333331E-2</v>
      </c>
      <c r="K14" s="6">
        <v>5.7466000000000003E-2</v>
      </c>
    </row>
    <row r="15" spans="1:15" x14ac:dyDescent="0.25">
      <c r="A15" t="s">
        <v>19</v>
      </c>
      <c r="B15">
        <v>78.88642659279779</v>
      </c>
      <c r="C15">
        <v>61</v>
      </c>
      <c r="D15">
        <v>106</v>
      </c>
      <c r="E15">
        <v>107</v>
      </c>
      <c r="F15">
        <v>24.053837953091691</v>
      </c>
      <c r="G15">
        <f t="shared" si="0"/>
        <v>1.3626167307030816</v>
      </c>
      <c r="H15" s="6">
        <v>7.4969499999999994E-2</v>
      </c>
      <c r="I15" s="6">
        <v>0</v>
      </c>
      <c r="J15" s="6">
        <v>5.6830499999999992E-2</v>
      </c>
      <c r="K15" s="6">
        <v>3.79665E-2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25">
      <c r="A16" t="s">
        <v>20</v>
      </c>
      <c r="B16">
        <v>14.43</v>
      </c>
      <c r="C16">
        <v>14</v>
      </c>
      <c r="D16">
        <v>15</v>
      </c>
      <c r="E16">
        <v>15</v>
      </c>
      <c r="F16">
        <v>66.648893628365769</v>
      </c>
      <c r="G16">
        <f t="shared" si="0"/>
        <v>0.35414570319993438</v>
      </c>
      <c r="H16" s="6">
        <v>0.13902700000000001</v>
      </c>
      <c r="I16" s="6">
        <v>0.183785</v>
      </c>
      <c r="J16" s="6">
        <v>0.12796533333333329</v>
      </c>
      <c r="K16" s="6">
        <v>5.8086000000000013E-2</v>
      </c>
    </row>
    <row r="17" spans="1:11" x14ac:dyDescent="0.25">
      <c r="A17" t="s">
        <v>21</v>
      </c>
      <c r="B17">
        <v>88.816000000000003</v>
      </c>
      <c r="C17">
        <v>75</v>
      </c>
      <c r="D17">
        <v>211</v>
      </c>
      <c r="E17">
        <v>213</v>
      </c>
      <c r="F17">
        <v>66.640010662401707</v>
      </c>
      <c r="G17">
        <f t="shared" si="0"/>
        <v>0.9131879144195878</v>
      </c>
      <c r="H17" s="6">
        <v>9.0278999999999984E-2</v>
      </c>
      <c r="I17" s="6">
        <v>7.4991249999999995E-2</v>
      </c>
      <c r="J17" s="6">
        <v>8.5139583333333282E-3</v>
      </c>
      <c r="K17" s="6">
        <v>0</v>
      </c>
    </row>
    <row r="18" spans="1:11" x14ac:dyDescent="0.25">
      <c r="A18" t="s">
        <v>22</v>
      </c>
      <c r="B18">
        <v>799.92857142857144</v>
      </c>
      <c r="C18">
        <v>676</v>
      </c>
      <c r="D18">
        <v>2012</v>
      </c>
      <c r="E18">
        <v>2827</v>
      </c>
      <c r="F18">
        <v>6.527676014121095</v>
      </c>
      <c r="G18" t="e">
        <f t="shared" si="0"/>
        <v>#DIV/0!</v>
      </c>
      <c r="H18" s="6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23</v>
      </c>
      <c r="B19">
        <v>14.420999999999999</v>
      </c>
      <c r="C19">
        <v>14</v>
      </c>
      <c r="D19">
        <v>15</v>
      </c>
      <c r="E19">
        <v>15</v>
      </c>
      <c r="F19">
        <v>66.635570067301927</v>
      </c>
      <c r="G19">
        <f t="shared" si="0"/>
        <v>0.27940947830814916</v>
      </c>
      <c r="H19" s="6">
        <v>0.12275253638446509</v>
      </c>
      <c r="I19" s="6">
        <v>0.14489250469818621</v>
      </c>
      <c r="J19" s="6">
        <v>0.13241523212867229</v>
      </c>
      <c r="K19" s="6">
        <v>6.1187734666865237E-2</v>
      </c>
    </row>
    <row r="20" spans="1:11" x14ac:dyDescent="0.25">
      <c r="A20" t="s">
        <v>24</v>
      </c>
      <c r="B20">
        <v>86.947999999999993</v>
      </c>
      <c r="C20">
        <v>75</v>
      </c>
      <c r="D20">
        <v>211</v>
      </c>
      <c r="E20">
        <v>257</v>
      </c>
      <c r="F20">
        <v>66.653335999466776</v>
      </c>
      <c r="G20">
        <f t="shared" si="0"/>
        <v>0.29123499958757509</v>
      </c>
      <c r="H20" s="6">
        <v>0.12976745470315651</v>
      </c>
      <c r="I20" s="6">
        <v>8.7166406531274387E-2</v>
      </c>
      <c r="J20" s="6">
        <v>7.0065062395711808E-2</v>
      </c>
      <c r="K20" s="6">
        <v>6.4487385683038551E-2</v>
      </c>
    </row>
    <row r="21" spans="1:11" x14ac:dyDescent="0.25">
      <c r="A21" t="s">
        <v>25</v>
      </c>
      <c r="B21">
        <v>775.21875</v>
      </c>
      <c r="C21">
        <v>679</v>
      </c>
      <c r="D21">
        <v>1728</v>
      </c>
      <c r="E21">
        <v>2969</v>
      </c>
      <c r="F21">
        <v>6.3953101059223236</v>
      </c>
      <c r="G21">
        <f t="shared" si="0"/>
        <v>0.72044903379548231</v>
      </c>
      <c r="H21" s="6">
        <v>0.75327462499999998</v>
      </c>
      <c r="I21" s="6">
        <v>0.1250372112326012</v>
      </c>
      <c r="J21" s="6">
        <v>0.27990851202991029</v>
      </c>
      <c r="K21" s="6">
        <v>0.2013246910217856</v>
      </c>
    </row>
    <row r="22" spans="1:11" x14ac:dyDescent="0.25">
      <c r="A22" t="s">
        <v>26</v>
      </c>
      <c r="B22">
        <v>89.105000000000004</v>
      </c>
      <c r="C22">
        <v>75</v>
      </c>
      <c r="D22">
        <v>226</v>
      </c>
      <c r="E22">
        <v>380</v>
      </c>
      <c r="F22">
        <v>66.640010662401707</v>
      </c>
      <c r="G22">
        <f t="shared" si="0"/>
        <v>0.42245650390625777</v>
      </c>
      <c r="H22" s="6">
        <v>0.19995739523924189</v>
      </c>
      <c r="I22" s="6">
        <v>0.1138341907218193</v>
      </c>
      <c r="J22" s="6">
        <v>8.4446406000627597E-2</v>
      </c>
      <c r="K22" s="6">
        <v>7.2826233660237161E-2</v>
      </c>
    </row>
    <row r="23" spans="1:11" x14ac:dyDescent="0.25">
      <c r="A23" t="s">
        <v>27</v>
      </c>
      <c r="B23">
        <v>408.34170854271349</v>
      </c>
      <c r="C23">
        <v>361</v>
      </c>
      <c r="D23">
        <v>1179</v>
      </c>
      <c r="E23">
        <v>1968</v>
      </c>
      <c r="F23">
        <v>13.255178845001</v>
      </c>
      <c r="G23">
        <f t="shared" si="0"/>
        <v>0.87756461100442873</v>
      </c>
      <c r="H23" s="6">
        <v>0.71708996920200607</v>
      </c>
      <c r="I23" s="6">
        <v>0.29002252156608538</v>
      </c>
      <c r="J23" s="6">
        <v>5.6866674858347621E-2</v>
      </c>
      <c r="K23" s="6">
        <v>0.1146029499299293</v>
      </c>
    </row>
    <row r="24" spans="1:11" x14ac:dyDescent="0.25">
      <c r="A24" t="s">
        <v>28</v>
      </c>
      <c r="B24">
        <v>1073.905325443787</v>
      </c>
      <c r="C24">
        <v>954</v>
      </c>
      <c r="D24">
        <v>2396</v>
      </c>
      <c r="E24">
        <v>4563</v>
      </c>
      <c r="F24">
        <v>6.7595944243345398</v>
      </c>
      <c r="G24">
        <f t="shared" si="0"/>
        <v>0.34348517393701511</v>
      </c>
      <c r="H24" s="6">
        <v>0.73758199999999996</v>
      </c>
      <c r="I24" s="6">
        <v>0.27421386180543911</v>
      </c>
      <c r="J24" s="6">
        <v>0.44950081373309181</v>
      </c>
      <c r="K24" s="6">
        <v>0.46772820718140129</v>
      </c>
    </row>
    <row r="25" spans="1:11" x14ac:dyDescent="0.25">
      <c r="A25" t="s">
        <v>29</v>
      </c>
      <c r="B25">
        <v>109.389</v>
      </c>
      <c r="C25">
        <v>107</v>
      </c>
      <c r="D25">
        <v>197</v>
      </c>
      <c r="E25">
        <v>212</v>
      </c>
      <c r="F25">
        <v>66.653335999466776</v>
      </c>
      <c r="G25">
        <f t="shared" si="0"/>
        <v>3.4543256397803077E-2</v>
      </c>
      <c r="H25" s="6">
        <v>0.11615358411274559</v>
      </c>
      <c r="I25" s="6">
        <v>0.11489619072181929</v>
      </c>
      <c r="J25" s="6">
        <v>0.1063280144405867</v>
      </c>
      <c r="K25" s="6">
        <v>0.11056933485074411</v>
      </c>
    </row>
    <row r="26" spans="1:11" x14ac:dyDescent="0.25">
      <c r="A26" t="s">
        <v>30</v>
      </c>
      <c r="B26">
        <v>506.47208121827413</v>
      </c>
      <c r="C26">
        <v>515</v>
      </c>
      <c r="D26">
        <v>984</v>
      </c>
      <c r="E26">
        <v>1078</v>
      </c>
      <c r="F26">
        <v>13.122835065281111</v>
      </c>
      <c r="G26">
        <f t="shared" si="0"/>
        <v>0.29559996696858831</v>
      </c>
      <c r="H26" s="6">
        <v>0.15808104421220701</v>
      </c>
      <c r="I26" s="6">
        <v>0.25180137693764387</v>
      </c>
      <c r="J26" s="6">
        <v>0.17391227156608541</v>
      </c>
      <c r="K26" s="6">
        <v>0.3266217346020599</v>
      </c>
    </row>
    <row r="27" spans="1:11" x14ac:dyDescent="0.25">
      <c r="A27" t="s">
        <v>31</v>
      </c>
      <c r="B27">
        <v>1328.806338028169</v>
      </c>
      <c r="C27">
        <v>1274</v>
      </c>
      <c r="D27">
        <v>2436</v>
      </c>
      <c r="E27">
        <v>2497</v>
      </c>
      <c r="F27">
        <v>5.6798864022719551</v>
      </c>
      <c r="G27">
        <f t="shared" si="0"/>
        <v>0.30695766023397891</v>
      </c>
      <c r="H27" s="6">
        <v>0.3677397291875204</v>
      </c>
      <c r="I27" s="6">
        <v>0.59937551496680919</v>
      </c>
      <c r="J27" s="6">
        <v>0.85801668801282016</v>
      </c>
      <c r="K27" s="6">
        <v>0.50661622706026233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activeCell="H1" sqref="H1:O1048576"/>
    </sheetView>
  </sheetViews>
  <sheetFormatPr defaultRowHeight="15" x14ac:dyDescent="0.25"/>
  <cols>
    <col min="1" max="7" width="20.7109375" customWidth="1"/>
    <col min="8" max="15" width="9.140625" style="6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32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5" t="s">
        <v>45</v>
      </c>
    </row>
    <row r="2" spans="1:15" x14ac:dyDescent="0.25">
      <c r="A2" t="s">
        <v>6</v>
      </c>
      <c r="B2">
        <v>22.128</v>
      </c>
      <c r="C2">
        <v>15</v>
      </c>
      <c r="D2">
        <v>60</v>
      </c>
      <c r="E2">
        <v>76</v>
      </c>
      <c r="F2">
        <v>66.613375965893951</v>
      </c>
      <c r="G2">
        <f>_xlfn.STDEV.P(H2:O2)/AVERAGE(H2:O2)</f>
        <v>0.30122049038795184</v>
      </c>
      <c r="H2" s="6">
        <v>0.76806075000000107</v>
      </c>
      <c r="I2" s="6">
        <v>0.73854149999999819</v>
      </c>
      <c r="J2" s="6">
        <v>0.67335291666666697</v>
      </c>
      <c r="K2" s="6">
        <v>0.30228200000000038</v>
      </c>
    </row>
    <row r="3" spans="1:15" x14ac:dyDescent="0.25">
      <c r="A3" t="s">
        <v>7</v>
      </c>
      <c r="B3">
        <v>101.2733118971061</v>
      </c>
      <c r="C3">
        <v>76</v>
      </c>
      <c r="D3">
        <v>212</v>
      </c>
      <c r="E3">
        <v>213</v>
      </c>
      <c r="F3">
        <v>46.643003549467579</v>
      </c>
      <c r="G3">
        <f t="shared" ref="G3:G27" si="0">_xlfn.STDEV.P(H3:O3)/AVERAGE(H3:O3)</f>
        <v>0.60333364777274323</v>
      </c>
      <c r="H3" s="6">
        <v>9.097174999999999E-2</v>
      </c>
      <c r="I3" s="6">
        <v>7.4980999999999992E-2</v>
      </c>
      <c r="J3" s="6">
        <v>6.2731458333333323E-2</v>
      </c>
      <c r="K3" s="6">
        <v>0</v>
      </c>
    </row>
    <row r="4" spans="1:15" x14ac:dyDescent="0.25">
      <c r="A4" t="s">
        <v>8</v>
      </c>
      <c r="B4">
        <v>809.07086614173227</v>
      </c>
      <c r="C4">
        <v>669</v>
      </c>
      <c r="D4">
        <v>2010</v>
      </c>
      <c r="E4">
        <v>2014</v>
      </c>
      <c r="F4">
        <v>8.4652557907015495</v>
      </c>
      <c r="G4" t="e">
        <f t="shared" si="0"/>
        <v>#DIV/0!</v>
      </c>
      <c r="H4" s="6">
        <v>0</v>
      </c>
      <c r="I4" s="6">
        <v>0</v>
      </c>
      <c r="J4" s="6">
        <v>0</v>
      </c>
      <c r="K4" s="6">
        <v>0</v>
      </c>
    </row>
    <row r="5" spans="1:15" x14ac:dyDescent="0.25">
      <c r="A5" t="s">
        <v>9</v>
      </c>
      <c r="B5">
        <v>24.523</v>
      </c>
      <c r="C5">
        <v>29</v>
      </c>
      <c r="D5">
        <v>45</v>
      </c>
      <c r="E5">
        <v>45</v>
      </c>
      <c r="F5">
        <v>66.644451849383529</v>
      </c>
      <c r="G5">
        <f t="shared" si="0"/>
        <v>1.1738921142958585E-3</v>
      </c>
      <c r="H5" s="6">
        <v>0.76206324999999742</v>
      </c>
      <c r="I5" s="6">
        <v>0.76389649999999754</v>
      </c>
      <c r="J5" s="6">
        <v>0.76396324999999854</v>
      </c>
      <c r="K5" s="6">
        <v>0.76439624999999822</v>
      </c>
    </row>
    <row r="6" spans="1:15" x14ac:dyDescent="0.25">
      <c r="A6" t="s">
        <v>10</v>
      </c>
      <c r="B6">
        <v>105.59699999999999</v>
      </c>
      <c r="C6">
        <v>106</v>
      </c>
      <c r="D6">
        <v>107</v>
      </c>
      <c r="E6">
        <v>108</v>
      </c>
      <c r="F6">
        <v>49.960031974420467</v>
      </c>
      <c r="G6">
        <f t="shared" si="0"/>
        <v>0.65965122433660239</v>
      </c>
      <c r="H6" s="6">
        <v>7.489825E-2</v>
      </c>
      <c r="I6" s="6">
        <v>7.4959249999999991E-2</v>
      </c>
      <c r="J6" s="6">
        <v>3.8186749999999998E-2</v>
      </c>
      <c r="K6" s="6">
        <v>0</v>
      </c>
    </row>
    <row r="7" spans="1:15" x14ac:dyDescent="0.25">
      <c r="A7" t="s">
        <v>11</v>
      </c>
      <c r="B7">
        <v>1011.717821782178</v>
      </c>
      <c r="C7">
        <v>1012</v>
      </c>
      <c r="D7">
        <v>1015</v>
      </c>
      <c r="E7">
        <v>1016</v>
      </c>
      <c r="F7">
        <v>6.7310896367877371</v>
      </c>
      <c r="G7">
        <f t="shared" si="0"/>
        <v>1.7320508075688772</v>
      </c>
      <c r="H7" s="6">
        <v>0</v>
      </c>
      <c r="I7" s="6">
        <v>1.4015249999999981E-2</v>
      </c>
      <c r="J7" s="6">
        <v>0</v>
      </c>
      <c r="K7" s="6">
        <v>0</v>
      </c>
    </row>
    <row r="8" spans="1:15" x14ac:dyDescent="0.25">
      <c r="A8" t="s">
        <v>12</v>
      </c>
      <c r="B8">
        <v>105.2973568281938</v>
      </c>
      <c r="C8">
        <v>105</v>
      </c>
      <c r="D8">
        <v>107</v>
      </c>
      <c r="E8">
        <v>107</v>
      </c>
      <c r="F8">
        <v>30.257589389849709</v>
      </c>
      <c r="G8">
        <f t="shared" si="0"/>
        <v>5.6984789540883915E-3</v>
      </c>
      <c r="H8" s="6">
        <v>3.8582249999999998E-2</v>
      </c>
      <c r="I8" s="6">
        <v>3.8373749999999998E-2</v>
      </c>
      <c r="J8" s="6">
        <v>3.8860249999999999E-2</v>
      </c>
      <c r="K8" s="6">
        <v>3.8735749999999999E-2</v>
      </c>
      <c r="L8" s="6">
        <v>3.8286999999999988E-2</v>
      </c>
      <c r="M8" s="6">
        <v>3.8205500000000003E-2</v>
      </c>
      <c r="N8" s="6">
        <v>3.8288750000000003E-2</v>
      </c>
      <c r="O8" s="6">
        <v>3.8543249999999987E-2</v>
      </c>
    </row>
    <row r="9" spans="1:15" x14ac:dyDescent="0.25">
      <c r="A9" t="s">
        <v>13</v>
      </c>
      <c r="B9">
        <v>142.883152173913</v>
      </c>
      <c r="C9">
        <v>106</v>
      </c>
      <c r="D9">
        <v>212</v>
      </c>
      <c r="E9">
        <v>213</v>
      </c>
      <c r="F9">
        <v>24.52597554067113</v>
      </c>
      <c r="G9">
        <f t="shared" si="0"/>
        <v>0.81008480635548508</v>
      </c>
      <c r="H9" s="6">
        <v>3.6186999999999983E-2</v>
      </c>
      <c r="I9" s="6">
        <v>7.4944499999999997E-2</v>
      </c>
      <c r="J9" s="6">
        <v>0</v>
      </c>
      <c r="K9" s="6">
        <v>7.105149999999999E-2</v>
      </c>
      <c r="L9" s="6">
        <v>1.1795E-3</v>
      </c>
      <c r="M9" s="6">
        <v>1.396499999999995E-3</v>
      </c>
      <c r="N9" s="6">
        <v>7.2010749999999984E-2</v>
      </c>
      <c r="O9" s="6">
        <v>7.4969499999999994E-2</v>
      </c>
    </row>
    <row r="10" spans="1:15" x14ac:dyDescent="0.25">
      <c r="A10" t="s">
        <v>14</v>
      </c>
      <c r="B10">
        <v>80.986051502145926</v>
      </c>
      <c r="C10">
        <v>74</v>
      </c>
      <c r="D10">
        <v>209</v>
      </c>
      <c r="E10">
        <v>212</v>
      </c>
      <c r="F10">
        <v>31.06563114562848</v>
      </c>
      <c r="G10">
        <f t="shared" si="0"/>
        <v>0.48694903048638966</v>
      </c>
      <c r="H10" s="6">
        <v>5.7465500000000003E-2</v>
      </c>
      <c r="I10" s="6">
        <v>5.7465000000000002E-2</v>
      </c>
      <c r="J10" s="6">
        <v>3.8534249999999999E-2</v>
      </c>
      <c r="K10" s="6">
        <v>6.3318333333333324E-2</v>
      </c>
      <c r="L10" s="6">
        <v>7.4930250000000004E-2</v>
      </c>
      <c r="M10" s="6">
        <v>9.0435499999999988E-2</v>
      </c>
      <c r="N10" s="6">
        <v>3.8710750000000002E-2</v>
      </c>
      <c r="O10" s="6">
        <v>0</v>
      </c>
    </row>
    <row r="11" spans="1:15" x14ac:dyDescent="0.25">
      <c r="A11" t="s">
        <v>15</v>
      </c>
      <c r="B11">
        <v>14.221</v>
      </c>
      <c r="C11">
        <v>14</v>
      </c>
      <c r="D11">
        <v>15</v>
      </c>
      <c r="E11">
        <v>15</v>
      </c>
      <c r="F11">
        <v>66.586762551604735</v>
      </c>
      <c r="G11">
        <f t="shared" si="0"/>
        <v>0.40009097577432734</v>
      </c>
      <c r="H11" s="6">
        <v>5.8147250000000011E-2</v>
      </c>
      <c r="I11" s="6">
        <v>2.6929499999999999E-2</v>
      </c>
      <c r="J11" s="6">
        <v>2.6133750000000001E-2</v>
      </c>
      <c r="K11" s="6">
        <v>2.618875E-2</v>
      </c>
    </row>
    <row r="12" spans="1:15" x14ac:dyDescent="0.25">
      <c r="A12" t="s">
        <v>16</v>
      </c>
      <c r="B12">
        <v>105.40600000000001</v>
      </c>
      <c r="C12">
        <v>105</v>
      </c>
      <c r="D12">
        <v>107</v>
      </c>
      <c r="E12">
        <v>108</v>
      </c>
      <c r="F12">
        <v>66.631130063965884</v>
      </c>
      <c r="G12">
        <f t="shared" si="0"/>
        <v>0.5777288763170435</v>
      </c>
      <c r="H12" s="6">
        <v>4.2227749999999988E-2</v>
      </c>
      <c r="I12" s="6">
        <v>4.3869999999999999E-2</v>
      </c>
      <c r="J12" s="6">
        <v>4.3914500000000002E-2</v>
      </c>
      <c r="K12" s="6">
        <v>0</v>
      </c>
    </row>
    <row r="13" spans="1:15" x14ac:dyDescent="0.25">
      <c r="A13" t="s">
        <v>17</v>
      </c>
      <c r="B13">
        <v>1009.1</v>
      </c>
      <c r="C13">
        <v>1010</v>
      </c>
      <c r="D13">
        <v>1014</v>
      </c>
      <c r="E13">
        <v>1015</v>
      </c>
      <c r="F13">
        <v>6.6617813603357554</v>
      </c>
      <c r="G13" t="e">
        <f t="shared" si="0"/>
        <v>#DIV/0!</v>
      </c>
      <c r="H13" s="6">
        <v>0</v>
      </c>
      <c r="I13" s="6">
        <v>0</v>
      </c>
      <c r="J13" s="6">
        <v>0</v>
      </c>
      <c r="K13" s="6">
        <v>0</v>
      </c>
    </row>
    <row r="14" spans="1:15" x14ac:dyDescent="0.25">
      <c r="A14" t="s">
        <v>18</v>
      </c>
      <c r="B14">
        <v>108.4072164948454</v>
      </c>
      <c r="C14">
        <v>76</v>
      </c>
      <c r="D14">
        <v>212</v>
      </c>
      <c r="E14">
        <v>226</v>
      </c>
      <c r="F14">
        <v>25.852878464818769</v>
      </c>
      <c r="G14">
        <f t="shared" si="0"/>
        <v>1.1359486117958444</v>
      </c>
      <c r="H14" s="6">
        <v>0.109979375</v>
      </c>
      <c r="I14" s="6">
        <v>3.8724750000000002E-2</v>
      </c>
      <c r="J14" s="6">
        <v>5.5582083333333213E-3</v>
      </c>
      <c r="K14" s="6">
        <v>0</v>
      </c>
    </row>
    <row r="15" spans="1:15" x14ac:dyDescent="0.25">
      <c r="A15" t="s">
        <v>19</v>
      </c>
      <c r="B15">
        <v>81.606557377049185</v>
      </c>
      <c r="C15">
        <v>61</v>
      </c>
      <c r="D15">
        <v>106</v>
      </c>
      <c r="E15">
        <v>107</v>
      </c>
      <c r="F15">
        <v>24.386993603411511</v>
      </c>
      <c r="G15">
        <f t="shared" si="0"/>
        <v>1.3618009755937841</v>
      </c>
      <c r="H15" s="6">
        <v>7.4963749999999996E-2</v>
      </c>
      <c r="I15" s="6">
        <v>0</v>
      </c>
      <c r="J15" s="6">
        <v>5.7329499999999999E-2</v>
      </c>
      <c r="K15" s="6">
        <v>3.8060249999999997E-2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25">
      <c r="A16" t="s">
        <v>20</v>
      </c>
      <c r="B16">
        <v>14.47</v>
      </c>
      <c r="C16">
        <v>14</v>
      </c>
      <c r="D16">
        <v>15</v>
      </c>
      <c r="E16">
        <v>15</v>
      </c>
      <c r="F16">
        <v>66.6266906522753</v>
      </c>
      <c r="G16">
        <f t="shared" si="0"/>
        <v>1.5918204743178814</v>
      </c>
      <c r="H16" s="6">
        <v>0.39313062500000151</v>
      </c>
      <c r="I16" s="6">
        <v>2.6040000000000001E-2</v>
      </c>
      <c r="J16" s="6">
        <v>0</v>
      </c>
      <c r="K16" s="6">
        <v>0</v>
      </c>
    </row>
    <row r="17" spans="1:11" x14ac:dyDescent="0.25">
      <c r="A17" t="s">
        <v>21</v>
      </c>
      <c r="B17">
        <v>93.671000000000006</v>
      </c>
      <c r="C17">
        <v>75</v>
      </c>
      <c r="D17">
        <v>212</v>
      </c>
      <c r="E17">
        <v>213</v>
      </c>
      <c r="F17">
        <v>66.600066600066597</v>
      </c>
      <c r="G17">
        <f t="shared" si="0"/>
        <v>0.54068254055968179</v>
      </c>
      <c r="H17" s="6">
        <v>7.2672124999999976E-2</v>
      </c>
      <c r="I17" s="6">
        <v>3.7555499999999999E-2</v>
      </c>
      <c r="J17" s="6">
        <v>8.8765833333333266E-3</v>
      </c>
      <c r="K17" s="6">
        <v>5.7496999999999993E-2</v>
      </c>
    </row>
    <row r="18" spans="1:11" x14ac:dyDescent="0.25">
      <c r="A18" t="s">
        <v>22</v>
      </c>
      <c r="B18">
        <v>864.19</v>
      </c>
      <c r="C18">
        <v>679</v>
      </c>
      <c r="D18">
        <v>2011</v>
      </c>
      <c r="E18">
        <v>2013</v>
      </c>
      <c r="F18">
        <v>6.6604502464366604</v>
      </c>
      <c r="G18">
        <f t="shared" si="0"/>
        <v>1.7320508075688774</v>
      </c>
      <c r="H18" s="6">
        <v>0</v>
      </c>
      <c r="I18" s="6">
        <v>0</v>
      </c>
      <c r="J18" s="6">
        <v>0</v>
      </c>
      <c r="K18" s="6">
        <v>0.14119399999999999</v>
      </c>
    </row>
    <row r="19" spans="1:11" x14ac:dyDescent="0.25">
      <c r="A19" t="s">
        <v>23</v>
      </c>
      <c r="B19">
        <v>14.683</v>
      </c>
      <c r="C19">
        <v>14</v>
      </c>
      <c r="D19">
        <v>15</v>
      </c>
      <c r="E19">
        <v>30</v>
      </c>
      <c r="F19">
        <v>66.653335999466776</v>
      </c>
      <c r="G19">
        <f t="shared" si="0"/>
        <v>1.7320508075688772</v>
      </c>
      <c r="H19" s="6">
        <v>0.25069149383215389</v>
      </c>
      <c r="I19" s="6">
        <v>0</v>
      </c>
      <c r="J19" s="6">
        <v>0</v>
      </c>
      <c r="K19" s="6">
        <v>0</v>
      </c>
    </row>
    <row r="20" spans="1:11" x14ac:dyDescent="0.25">
      <c r="A20" t="s">
        <v>24</v>
      </c>
      <c r="B20">
        <v>91.152000000000001</v>
      </c>
      <c r="C20">
        <v>75</v>
      </c>
      <c r="D20">
        <v>226</v>
      </c>
      <c r="E20">
        <v>271</v>
      </c>
      <c r="F20">
        <v>66.653335999466776</v>
      </c>
      <c r="G20">
        <f t="shared" si="0"/>
        <v>0.22893751763838241</v>
      </c>
      <c r="H20" s="6">
        <v>0.1145257073147808</v>
      </c>
      <c r="I20" s="6">
        <v>8.1766542213612556E-2</v>
      </c>
      <c r="J20" s="6">
        <v>6.8993701744411162E-2</v>
      </c>
      <c r="K20" s="6">
        <v>6.7019170821093446E-2</v>
      </c>
    </row>
    <row r="21" spans="1:11" x14ac:dyDescent="0.25">
      <c r="A21" t="s">
        <v>25</v>
      </c>
      <c r="B21">
        <v>896.62626262626259</v>
      </c>
      <c r="C21">
        <v>714</v>
      </c>
      <c r="D21">
        <v>2398</v>
      </c>
      <c r="E21">
        <v>3140</v>
      </c>
      <c r="F21">
        <v>6.5982404692082124</v>
      </c>
      <c r="G21">
        <f t="shared" si="0"/>
        <v>0.85010060868925996</v>
      </c>
      <c r="H21" s="6">
        <v>0.76408286640339584</v>
      </c>
      <c r="I21" s="6">
        <v>8.1982596800533047E-2</v>
      </c>
      <c r="J21" s="6">
        <v>0.25576766293458048</v>
      </c>
      <c r="K21" s="6">
        <v>0.15459932741941479</v>
      </c>
    </row>
    <row r="22" spans="1:11" x14ac:dyDescent="0.25">
      <c r="A22" t="s">
        <v>26</v>
      </c>
      <c r="B22">
        <v>94.628</v>
      </c>
      <c r="C22">
        <v>76</v>
      </c>
      <c r="D22">
        <v>302</v>
      </c>
      <c r="E22">
        <v>394</v>
      </c>
      <c r="F22">
        <v>66.595631326584979</v>
      </c>
      <c r="G22">
        <f t="shared" si="0"/>
        <v>0.2783534373125221</v>
      </c>
      <c r="H22" s="6">
        <v>0.1470307671167092</v>
      </c>
      <c r="I22" s="6">
        <v>9.5915484465681947E-2</v>
      </c>
      <c r="J22" s="6">
        <v>8.4440476187708224E-2</v>
      </c>
      <c r="K22" s="6">
        <v>7.4374324754546112E-2</v>
      </c>
    </row>
    <row r="23" spans="1:11" x14ac:dyDescent="0.25">
      <c r="A23" t="s">
        <v>27</v>
      </c>
      <c r="B23">
        <v>439.48743718592971</v>
      </c>
      <c r="C23">
        <v>346</v>
      </c>
      <c r="D23">
        <v>1274</v>
      </c>
      <c r="E23">
        <v>2325</v>
      </c>
      <c r="F23">
        <v>13.256061817212901</v>
      </c>
      <c r="G23">
        <f t="shared" si="0"/>
        <v>0.60849791963477473</v>
      </c>
      <c r="H23" s="6">
        <v>0.65950077975223298</v>
      </c>
      <c r="I23" s="6">
        <v>0.31741484098218298</v>
      </c>
      <c r="J23" s="6">
        <v>0.2158127467920303</v>
      </c>
      <c r="K23" s="6">
        <v>0.12970467013385309</v>
      </c>
    </row>
    <row r="24" spans="1:11" x14ac:dyDescent="0.25">
      <c r="A24" t="s">
        <v>28</v>
      </c>
      <c r="B24">
        <v>1065.3216374269009</v>
      </c>
      <c r="C24">
        <v>862</v>
      </c>
      <c r="D24">
        <v>3202</v>
      </c>
      <c r="E24">
        <v>4446</v>
      </c>
      <c r="F24">
        <v>6.8380853361058902</v>
      </c>
      <c r="G24">
        <f t="shared" si="0"/>
        <v>0.45372168013511083</v>
      </c>
      <c r="H24" s="6">
        <v>0.88669699999999996</v>
      </c>
      <c r="I24" s="6">
        <v>0.6864323021065275</v>
      </c>
      <c r="J24" s="6">
        <v>0.26209408260014672</v>
      </c>
      <c r="K24" s="6">
        <v>0.36491316518494421</v>
      </c>
    </row>
    <row r="25" spans="1:11" x14ac:dyDescent="0.25">
      <c r="A25" t="s">
        <v>29</v>
      </c>
      <c r="B25">
        <v>109.57299999999999</v>
      </c>
      <c r="C25">
        <v>108</v>
      </c>
      <c r="D25">
        <v>197</v>
      </c>
      <c r="E25">
        <v>213</v>
      </c>
      <c r="F25">
        <v>66.631130063965884</v>
      </c>
      <c r="G25">
        <f t="shared" si="0"/>
        <v>7.119434338492657E-2</v>
      </c>
      <c r="H25" s="6">
        <v>0.12665242062469331</v>
      </c>
      <c r="I25" s="6">
        <v>0.1070264588214789</v>
      </c>
      <c r="J25" s="6">
        <v>0.1093040355379768</v>
      </c>
      <c r="K25" s="6">
        <v>0.1082636308096373</v>
      </c>
    </row>
    <row r="26" spans="1:11" x14ac:dyDescent="0.25">
      <c r="A26" t="s">
        <v>30</v>
      </c>
      <c r="B26">
        <v>510.92</v>
      </c>
      <c r="C26">
        <v>500</v>
      </c>
      <c r="D26">
        <v>995</v>
      </c>
      <c r="E26">
        <v>1181</v>
      </c>
      <c r="F26">
        <v>13.32622601279318</v>
      </c>
      <c r="G26">
        <f t="shared" si="0"/>
        <v>0.19867045195886535</v>
      </c>
      <c r="H26" s="6">
        <v>0.23058952275695141</v>
      </c>
      <c r="I26" s="6">
        <v>0.38667221297705578</v>
      </c>
      <c r="J26" s="6">
        <v>0.32081984383842532</v>
      </c>
      <c r="K26" s="6">
        <v>0.26196228259983972</v>
      </c>
    </row>
    <row r="27" spans="1:11" x14ac:dyDescent="0.25">
      <c r="A27" t="s">
        <v>31</v>
      </c>
      <c r="B27">
        <v>1318.7830508474581</v>
      </c>
      <c r="C27">
        <v>1306</v>
      </c>
      <c r="D27">
        <v>2442</v>
      </c>
      <c r="E27">
        <v>2554</v>
      </c>
      <c r="F27">
        <v>5.8996460212387261</v>
      </c>
      <c r="G27">
        <f t="shared" si="0"/>
        <v>0.20787556877239599</v>
      </c>
      <c r="H27" s="6">
        <v>0.38313989782260882</v>
      </c>
      <c r="I27" s="6">
        <v>0.50566092100199589</v>
      </c>
      <c r="J27" s="6">
        <v>0.67726930221883419</v>
      </c>
      <c r="K27" s="6">
        <v>0.47776071335177361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workbookViewId="0">
      <selection activeCell="G18" sqref="G18"/>
    </sheetView>
  </sheetViews>
  <sheetFormatPr defaultRowHeight="15" x14ac:dyDescent="0.25"/>
  <cols>
    <col min="1" max="7" width="20.7109375" customWidth="1"/>
    <col min="8" max="15" width="9.140625" style="6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32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5" t="s">
        <v>45</v>
      </c>
    </row>
    <row r="2" spans="1:15" x14ac:dyDescent="0.25">
      <c r="A2" t="s">
        <v>6</v>
      </c>
      <c r="B2">
        <v>25.045999999999999</v>
      </c>
      <c r="C2">
        <v>15</v>
      </c>
      <c r="D2">
        <v>75</v>
      </c>
      <c r="E2">
        <v>76</v>
      </c>
      <c r="F2">
        <v>66.60450246436659</v>
      </c>
      <c r="G2">
        <f>_xlfn.STDEV.P(H2:O2)/AVERAGE(H2:O2)</f>
        <v>0.47382593473070911</v>
      </c>
      <c r="H2" s="6">
        <v>0.76904200000000122</v>
      </c>
      <c r="I2" s="6">
        <v>0.76376049999999851</v>
      </c>
      <c r="J2" s="6">
        <v>0.63538570833333352</v>
      </c>
      <c r="K2" s="6">
        <v>0.111469</v>
      </c>
    </row>
    <row r="3" spans="1:15" x14ac:dyDescent="0.25">
      <c r="A3" t="s">
        <v>7</v>
      </c>
      <c r="B3">
        <v>100.2474437627812</v>
      </c>
      <c r="C3">
        <v>75</v>
      </c>
      <c r="D3">
        <v>212</v>
      </c>
      <c r="E3">
        <v>213</v>
      </c>
      <c r="F3">
        <v>48.870677593443929</v>
      </c>
      <c r="G3">
        <f t="shared" ref="G3:G27" si="0">_xlfn.STDEV.P(H3:O3)/AVERAGE(H3:O3)</f>
        <v>0.18394020664508678</v>
      </c>
      <c r="H3" s="6">
        <v>5.3978374999999988E-2</v>
      </c>
      <c r="I3" s="6">
        <v>5.5840249999999987E-2</v>
      </c>
      <c r="J3" s="6">
        <v>3.4524333333333317E-2</v>
      </c>
      <c r="K3" s="6">
        <v>5.7478499999999988E-2</v>
      </c>
    </row>
    <row r="4" spans="1:15" x14ac:dyDescent="0.25">
      <c r="A4" t="s">
        <v>8</v>
      </c>
      <c r="B4">
        <v>803.62055335968375</v>
      </c>
      <c r="C4">
        <v>668</v>
      </c>
      <c r="D4">
        <v>2010</v>
      </c>
      <c r="E4">
        <v>2014</v>
      </c>
      <c r="F4">
        <v>8.4327711485900938</v>
      </c>
      <c r="G4" t="e">
        <f t="shared" si="0"/>
        <v>#DIV/0!</v>
      </c>
      <c r="H4" s="6">
        <v>0</v>
      </c>
      <c r="I4" s="6">
        <v>0</v>
      </c>
      <c r="J4" s="6">
        <v>0</v>
      </c>
      <c r="K4" s="6">
        <v>0</v>
      </c>
    </row>
    <row r="5" spans="1:15" x14ac:dyDescent="0.25">
      <c r="A5" t="s">
        <v>9</v>
      </c>
      <c r="B5">
        <v>22.204999999999998</v>
      </c>
      <c r="C5">
        <v>15</v>
      </c>
      <c r="D5">
        <v>44</v>
      </c>
      <c r="E5">
        <v>45</v>
      </c>
      <c r="F5">
        <v>66.635570067301927</v>
      </c>
      <c r="G5">
        <f t="shared" si="0"/>
        <v>0.46972121621952029</v>
      </c>
      <c r="H5" s="6">
        <v>0.76397674999999843</v>
      </c>
      <c r="I5" s="6">
        <v>0.32549349999999988</v>
      </c>
      <c r="J5" s="6">
        <v>0.76129799999999936</v>
      </c>
      <c r="K5" s="6">
        <v>0.23106725000000011</v>
      </c>
    </row>
    <row r="6" spans="1:15" x14ac:dyDescent="0.25">
      <c r="A6" t="s">
        <v>10</v>
      </c>
      <c r="B6">
        <v>105.6221198156682</v>
      </c>
      <c r="C6">
        <v>105</v>
      </c>
      <c r="D6">
        <v>107</v>
      </c>
      <c r="E6">
        <v>111</v>
      </c>
      <c r="F6">
        <v>43.386983904828547</v>
      </c>
      <c r="G6">
        <f t="shared" si="0"/>
        <v>0.97594113464360221</v>
      </c>
      <c r="H6" s="6">
        <v>1.836999999999991E-3</v>
      </c>
      <c r="I6" s="6">
        <v>7.4990749999999995E-2</v>
      </c>
      <c r="J6" s="6">
        <v>7.4933E-2</v>
      </c>
      <c r="K6" s="6">
        <v>0</v>
      </c>
    </row>
    <row r="7" spans="1:15" x14ac:dyDescent="0.25">
      <c r="A7" t="s">
        <v>11</v>
      </c>
      <c r="B7">
        <v>1010.3514851485151</v>
      </c>
      <c r="C7">
        <v>1012</v>
      </c>
      <c r="D7">
        <v>1014</v>
      </c>
      <c r="E7">
        <v>1015</v>
      </c>
      <c r="F7">
        <v>6.7317625887292962</v>
      </c>
      <c r="G7" t="e">
        <f t="shared" si="0"/>
        <v>#DIV/0!</v>
      </c>
      <c r="H7" s="6">
        <v>0</v>
      </c>
      <c r="I7" s="6">
        <v>0</v>
      </c>
      <c r="J7" s="6">
        <v>0</v>
      </c>
      <c r="K7" s="6">
        <v>0</v>
      </c>
    </row>
    <row r="8" spans="1:15" x14ac:dyDescent="0.25">
      <c r="A8" t="s">
        <v>12</v>
      </c>
      <c r="B8">
        <v>105.4855072463768</v>
      </c>
      <c r="C8">
        <v>105</v>
      </c>
      <c r="D8">
        <v>107</v>
      </c>
      <c r="E8">
        <v>108</v>
      </c>
      <c r="F8">
        <v>27.5972402759724</v>
      </c>
      <c r="G8">
        <f t="shared" si="0"/>
        <v>0.51186456987068041</v>
      </c>
      <c r="H8" s="6">
        <v>3.9460500000000003E-2</v>
      </c>
      <c r="I8" s="6">
        <v>3.8373499999999998E-2</v>
      </c>
      <c r="J8" s="6">
        <v>7.4976500000000001E-2</v>
      </c>
      <c r="K8" s="6">
        <v>7.4998250000000002E-2</v>
      </c>
      <c r="L8" s="6">
        <v>1.2362499999999941E-3</v>
      </c>
      <c r="M8" s="6">
        <v>3.8830000000000003E-2</v>
      </c>
      <c r="N8" s="6">
        <v>3.7921000000000003E-2</v>
      </c>
      <c r="O8" s="6">
        <v>3.8681E-2</v>
      </c>
    </row>
    <row r="9" spans="1:15" x14ac:dyDescent="0.25">
      <c r="A9" t="s">
        <v>13</v>
      </c>
      <c r="B9">
        <v>126.2545126353791</v>
      </c>
      <c r="C9">
        <v>106</v>
      </c>
      <c r="D9">
        <v>212</v>
      </c>
      <c r="E9">
        <v>214</v>
      </c>
      <c r="F9">
        <v>18.456208148715731</v>
      </c>
      <c r="G9">
        <f t="shared" si="0"/>
        <v>1.0498263869816056</v>
      </c>
      <c r="H9" s="6">
        <v>4.2991499999999988E-2</v>
      </c>
      <c r="I9" s="6">
        <v>0</v>
      </c>
      <c r="J9" s="6">
        <v>2.6939999999999881E-3</v>
      </c>
      <c r="K9" s="6">
        <v>0</v>
      </c>
      <c r="L9" s="6">
        <v>4.2499500000000003E-2</v>
      </c>
      <c r="M9" s="6">
        <v>7.4973499999999998E-2</v>
      </c>
      <c r="N9" s="6">
        <v>0</v>
      </c>
      <c r="O9" s="6">
        <v>7.4847999999999998E-2</v>
      </c>
    </row>
    <row r="10" spans="1:15" x14ac:dyDescent="0.25">
      <c r="A10" t="s">
        <v>14</v>
      </c>
      <c r="B10">
        <v>67.758201701093554</v>
      </c>
      <c r="C10">
        <v>60</v>
      </c>
      <c r="D10">
        <v>104</v>
      </c>
      <c r="E10">
        <v>105</v>
      </c>
      <c r="F10">
        <v>27.423278131351839</v>
      </c>
      <c r="G10">
        <f t="shared" si="0"/>
        <v>1.0303369043143227</v>
      </c>
      <c r="H10" s="6">
        <v>5.7475999999999992E-2</v>
      </c>
      <c r="I10" s="6">
        <v>0</v>
      </c>
      <c r="J10" s="6">
        <v>0</v>
      </c>
      <c r="K10" s="6">
        <v>6.3330333333333322E-2</v>
      </c>
      <c r="L10" s="6">
        <v>0</v>
      </c>
      <c r="M10" s="6">
        <v>0</v>
      </c>
      <c r="N10" s="6">
        <v>3.8180249999999999E-2</v>
      </c>
      <c r="O10" s="6">
        <v>5.7267499999999999E-2</v>
      </c>
    </row>
    <row r="11" spans="1:15" x14ac:dyDescent="0.25">
      <c r="A11" t="s">
        <v>15</v>
      </c>
      <c r="B11">
        <v>14.21</v>
      </c>
      <c r="C11">
        <v>14</v>
      </c>
      <c r="D11">
        <v>15</v>
      </c>
      <c r="E11">
        <v>15</v>
      </c>
      <c r="F11">
        <v>66.586762551604735</v>
      </c>
      <c r="G11">
        <f t="shared" si="0"/>
        <v>0.5053261762250596</v>
      </c>
      <c r="H11" s="6">
        <v>0.19972224999999999</v>
      </c>
      <c r="I11" s="6">
        <v>9.4214749999999986E-2</v>
      </c>
      <c r="J11" s="6">
        <v>6.7816999999999988E-2</v>
      </c>
      <c r="K11" s="6">
        <v>6.8195749999999999E-2</v>
      </c>
    </row>
    <row r="12" spans="1:15" x14ac:dyDescent="0.25">
      <c r="A12" t="s">
        <v>16</v>
      </c>
      <c r="B12">
        <v>105.3226571767497</v>
      </c>
      <c r="C12">
        <v>105</v>
      </c>
      <c r="D12">
        <v>107</v>
      </c>
      <c r="E12">
        <v>108</v>
      </c>
      <c r="F12">
        <v>56.177528988404639</v>
      </c>
      <c r="G12">
        <f t="shared" si="0"/>
        <v>0.31534940054695637</v>
      </c>
      <c r="H12" s="6">
        <v>3.9510000000000003E-2</v>
      </c>
      <c r="I12" s="6">
        <v>3.9246250000000003E-2</v>
      </c>
      <c r="J12" s="6">
        <v>7.2603249999999994E-2</v>
      </c>
      <c r="K12" s="6">
        <v>3.6652749999999998E-2</v>
      </c>
    </row>
    <row r="13" spans="1:15" x14ac:dyDescent="0.25">
      <c r="A13" t="s">
        <v>17</v>
      </c>
      <c r="B13">
        <v>1008.55</v>
      </c>
      <c r="C13">
        <v>1010</v>
      </c>
      <c r="D13">
        <v>1015</v>
      </c>
      <c r="E13">
        <v>1024</v>
      </c>
      <c r="F13">
        <v>5.3287151135682409</v>
      </c>
      <c r="G13">
        <f t="shared" si="0"/>
        <v>1.7320508075688774</v>
      </c>
      <c r="H13" s="6">
        <v>0</v>
      </c>
      <c r="I13" s="6">
        <v>1.5023249999999931E-2</v>
      </c>
      <c r="J13" s="6">
        <v>0</v>
      </c>
      <c r="K13" s="6">
        <v>0</v>
      </c>
    </row>
    <row r="14" spans="1:15" x14ac:dyDescent="0.25">
      <c r="A14" t="s">
        <v>18</v>
      </c>
      <c r="B14">
        <v>110.74412532637081</v>
      </c>
      <c r="C14">
        <v>76</v>
      </c>
      <c r="D14">
        <v>212</v>
      </c>
      <c r="E14">
        <v>224</v>
      </c>
      <c r="F14">
        <v>25.529929342754301</v>
      </c>
      <c r="G14">
        <f t="shared" si="0"/>
        <v>0.94727803759942708</v>
      </c>
      <c r="H14" s="6">
        <v>9.1848374999999982E-2</v>
      </c>
      <c r="I14" s="6">
        <v>5.4999999999999993E-2</v>
      </c>
      <c r="J14" s="6">
        <v>9.1630833333333217E-3</v>
      </c>
      <c r="K14" s="6">
        <v>0</v>
      </c>
    </row>
    <row r="15" spans="1:15" x14ac:dyDescent="0.25">
      <c r="A15" t="s">
        <v>19</v>
      </c>
      <c r="B15">
        <v>82.597014925373131</v>
      </c>
      <c r="C15">
        <v>62</v>
      </c>
      <c r="D15">
        <v>107</v>
      </c>
      <c r="E15">
        <v>107</v>
      </c>
      <c r="F15">
        <v>22.31250832556281</v>
      </c>
      <c r="G15">
        <f t="shared" si="0"/>
        <v>1.3192963783495582</v>
      </c>
      <c r="H15" s="6">
        <v>3.8683750000000003E-2</v>
      </c>
      <c r="I15" s="6">
        <v>0</v>
      </c>
      <c r="J15" s="6">
        <v>5.7428999999999987E-2</v>
      </c>
      <c r="K15" s="6">
        <v>0</v>
      </c>
      <c r="L15" s="6">
        <v>5.5448999999999998E-2</v>
      </c>
      <c r="M15" s="6">
        <v>0</v>
      </c>
      <c r="N15" s="6">
        <v>0</v>
      </c>
      <c r="O15" s="6">
        <v>0</v>
      </c>
    </row>
    <row r="16" spans="1:15" x14ac:dyDescent="0.25">
      <c r="A16" t="s">
        <v>20</v>
      </c>
      <c r="B16">
        <v>14.374000000000001</v>
      </c>
      <c r="C16">
        <v>14</v>
      </c>
      <c r="D16">
        <v>15</v>
      </c>
      <c r="E16">
        <v>15</v>
      </c>
      <c r="F16">
        <v>66.600066600066597</v>
      </c>
      <c r="G16">
        <f t="shared" si="0"/>
        <v>0.34364078140519128</v>
      </c>
      <c r="H16" s="6">
        <v>0.108682625</v>
      </c>
      <c r="I16" s="6">
        <v>7.7529249999999994E-2</v>
      </c>
      <c r="J16" s="6">
        <v>5.1478958333333352E-2</v>
      </c>
      <c r="K16" s="6">
        <v>4.7413499999999997E-2</v>
      </c>
    </row>
    <row r="17" spans="1:11" x14ac:dyDescent="0.25">
      <c r="A17" t="s">
        <v>21</v>
      </c>
      <c r="B17">
        <v>98.246887966804977</v>
      </c>
      <c r="C17">
        <v>75</v>
      </c>
      <c r="D17">
        <v>212</v>
      </c>
      <c r="E17">
        <v>213</v>
      </c>
      <c r="F17">
        <v>64.198188598827912</v>
      </c>
      <c r="G17">
        <f t="shared" si="0"/>
        <v>0.49811322347374215</v>
      </c>
      <c r="H17" s="6">
        <v>5.3849999999999981E-2</v>
      </c>
      <c r="I17" s="6">
        <v>3.8196999999999988E-2</v>
      </c>
      <c r="J17" s="6">
        <v>7.8067083333333218E-3</v>
      </c>
      <c r="K17" s="6">
        <v>5.7492499999999988E-2</v>
      </c>
    </row>
    <row r="18" spans="1:11" x14ac:dyDescent="0.25">
      <c r="A18" t="s">
        <v>22</v>
      </c>
      <c r="B18">
        <v>922.67777777777781</v>
      </c>
      <c r="C18">
        <v>680</v>
      </c>
      <c r="D18">
        <v>2010</v>
      </c>
      <c r="E18">
        <v>2892</v>
      </c>
      <c r="F18">
        <v>5.9952038369304557</v>
      </c>
      <c r="G18">
        <f t="shared" si="0"/>
        <v>1.7320508075688774</v>
      </c>
      <c r="H18" s="6">
        <v>0</v>
      </c>
      <c r="I18" s="6">
        <v>5.2634999999999932E-2</v>
      </c>
      <c r="J18" s="6">
        <v>0</v>
      </c>
      <c r="K18" s="6">
        <v>0</v>
      </c>
    </row>
    <row r="19" spans="1:11" x14ac:dyDescent="0.25">
      <c r="A19" t="s">
        <v>23</v>
      </c>
      <c r="B19">
        <v>14.385999999999999</v>
      </c>
      <c r="C19">
        <v>14</v>
      </c>
      <c r="D19">
        <v>15</v>
      </c>
      <c r="E19">
        <v>15</v>
      </c>
      <c r="F19">
        <v>66.635570067301927</v>
      </c>
      <c r="G19">
        <f t="shared" si="0"/>
        <v>0.40353064569429503</v>
      </c>
      <c r="H19" s="6">
        <v>0.1175711751712161</v>
      </c>
      <c r="I19" s="6">
        <v>0.115336460842191</v>
      </c>
      <c r="J19" s="6">
        <v>4.5260662422463752E-2</v>
      </c>
      <c r="K19" s="6">
        <v>5.4169124520424092E-2</v>
      </c>
    </row>
    <row r="20" spans="1:11" x14ac:dyDescent="0.25">
      <c r="A20" t="s">
        <v>24</v>
      </c>
      <c r="B20">
        <v>97.516062176165804</v>
      </c>
      <c r="C20">
        <v>76</v>
      </c>
      <c r="D20">
        <v>226</v>
      </c>
      <c r="E20">
        <v>273</v>
      </c>
      <c r="F20">
        <v>64.307610289217649</v>
      </c>
      <c r="G20">
        <f t="shared" si="0"/>
        <v>0.25681067332691021</v>
      </c>
      <c r="H20" s="6">
        <v>0.1181397553649539</v>
      </c>
      <c r="I20" s="6">
        <v>7.9628349517284397E-2</v>
      </c>
      <c r="J20" s="6">
        <v>7.2058024145693789E-2</v>
      </c>
      <c r="K20" s="6">
        <v>6.1838167864016941E-2</v>
      </c>
    </row>
    <row r="21" spans="1:11" x14ac:dyDescent="0.25">
      <c r="A21" t="s">
        <v>25</v>
      </c>
      <c r="B21">
        <v>885.01190476190482</v>
      </c>
      <c r="C21">
        <v>740</v>
      </c>
      <c r="D21">
        <v>2299</v>
      </c>
      <c r="E21">
        <v>2725</v>
      </c>
      <c r="F21">
        <v>5.5992534328756163</v>
      </c>
      <c r="G21">
        <f t="shared" si="0"/>
        <v>0.56786622849021817</v>
      </c>
      <c r="H21" s="6">
        <v>0.59835003856519653</v>
      </c>
      <c r="I21" s="6">
        <v>0.41369970554486563</v>
      </c>
      <c r="J21" s="6">
        <v>0.1832915420504963</v>
      </c>
      <c r="K21" s="6">
        <v>0.12826032560093381</v>
      </c>
    </row>
    <row r="22" spans="1:11" x14ac:dyDescent="0.25">
      <c r="A22" t="s">
        <v>26</v>
      </c>
      <c r="B22">
        <v>98.669791666666669</v>
      </c>
      <c r="C22">
        <v>76</v>
      </c>
      <c r="D22">
        <v>273</v>
      </c>
      <c r="E22">
        <v>392</v>
      </c>
      <c r="F22">
        <v>63.974410235905637</v>
      </c>
      <c r="G22">
        <f t="shared" si="0"/>
        <v>0.36107408785595424</v>
      </c>
      <c r="H22" s="6">
        <v>0.17816290259112971</v>
      </c>
      <c r="I22" s="6">
        <v>0.1160739278854217</v>
      </c>
      <c r="J22" s="6">
        <v>8.4037346252256506E-2</v>
      </c>
      <c r="K22" s="6">
        <v>7.3521877537434596E-2</v>
      </c>
    </row>
    <row r="23" spans="1:11" x14ac:dyDescent="0.25">
      <c r="A23" t="s">
        <v>27</v>
      </c>
      <c r="B23">
        <v>458.14893617021278</v>
      </c>
      <c r="C23">
        <v>376</v>
      </c>
      <c r="D23">
        <v>1644</v>
      </c>
      <c r="E23">
        <v>1994</v>
      </c>
      <c r="F23">
        <v>12.52498334443704</v>
      </c>
      <c r="G23">
        <f t="shared" si="0"/>
        <v>0.44878282437662076</v>
      </c>
      <c r="H23" s="6">
        <v>0.48122754313217098</v>
      </c>
      <c r="I23" s="6">
        <v>0.32014845237611639</v>
      </c>
      <c r="J23" s="6">
        <v>0.225081987011615</v>
      </c>
      <c r="K23" s="6">
        <v>0.12988099230103001</v>
      </c>
    </row>
    <row r="24" spans="1:11" x14ac:dyDescent="0.25">
      <c r="A24" t="s">
        <v>28</v>
      </c>
      <c r="B24">
        <v>1070.277936962751</v>
      </c>
      <c r="C24">
        <v>925</v>
      </c>
      <c r="D24">
        <v>2652</v>
      </c>
      <c r="E24">
        <v>4197</v>
      </c>
      <c r="F24">
        <v>6.9790229367888497</v>
      </c>
      <c r="G24">
        <f t="shared" si="0"/>
        <v>0.41041420378148535</v>
      </c>
      <c r="H24" s="6">
        <v>0.50869425000000001</v>
      </c>
      <c r="I24" s="6">
        <v>0.75976769999156324</v>
      </c>
      <c r="J24" s="6">
        <v>0.37156505239129012</v>
      </c>
      <c r="K24" s="6">
        <v>0.2387312089604425</v>
      </c>
    </row>
    <row r="25" spans="1:11" x14ac:dyDescent="0.25">
      <c r="A25" t="s">
        <v>29</v>
      </c>
      <c r="B25">
        <v>108.0431137724551</v>
      </c>
      <c r="C25">
        <v>106</v>
      </c>
      <c r="D25">
        <v>198</v>
      </c>
      <c r="E25">
        <v>212</v>
      </c>
      <c r="F25">
        <v>55.62587435880355</v>
      </c>
      <c r="G25">
        <f t="shared" si="0"/>
        <v>0.12339303052252443</v>
      </c>
      <c r="H25" s="6">
        <v>0.11038515628366791</v>
      </c>
      <c r="I25" s="6">
        <v>0.1096215981505877</v>
      </c>
      <c r="J25" s="6">
        <v>0.1034300092569156</v>
      </c>
      <c r="K25" s="6">
        <v>0.14025346543229911</v>
      </c>
    </row>
    <row r="26" spans="1:11" x14ac:dyDescent="0.25">
      <c r="A26" t="s">
        <v>30</v>
      </c>
      <c r="B26">
        <v>511.4375</v>
      </c>
      <c r="C26">
        <v>531</v>
      </c>
      <c r="D26">
        <v>953</v>
      </c>
      <c r="E26">
        <v>1200</v>
      </c>
      <c r="F26">
        <v>10.661691210768311</v>
      </c>
      <c r="G26">
        <f t="shared" si="0"/>
        <v>0.19529810174850437</v>
      </c>
      <c r="H26" s="6">
        <v>0.29248854901104449</v>
      </c>
      <c r="I26" s="6">
        <v>0.24608140924380101</v>
      </c>
      <c r="J26" s="6">
        <v>0.18721991859819839</v>
      </c>
      <c r="K26" s="6">
        <v>0.18585609026770619</v>
      </c>
    </row>
    <row r="27" spans="1:11" x14ac:dyDescent="0.25">
      <c r="A27" t="s">
        <v>31</v>
      </c>
      <c r="B27">
        <v>1307.327731092437</v>
      </c>
      <c r="C27">
        <v>1268</v>
      </c>
      <c r="D27">
        <v>2434</v>
      </c>
      <c r="E27">
        <v>2494</v>
      </c>
      <c r="F27">
        <v>4.7591433541962447</v>
      </c>
      <c r="G27">
        <f t="shared" si="0"/>
        <v>0.19686420884399239</v>
      </c>
      <c r="H27" s="6">
        <v>0.6549085003567594</v>
      </c>
      <c r="I27" s="6">
        <v>0.40853659063325631</v>
      </c>
      <c r="J27" s="6">
        <v>0.42261100800245172</v>
      </c>
      <c r="K27" s="6">
        <v>0.53964984856078169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146A-CAD3-4590-BE4F-5D3933101B4E}">
  <dimension ref="A1:K27"/>
  <sheetViews>
    <sheetView workbookViewId="0">
      <selection activeCell="H9" sqref="H9"/>
    </sheetView>
  </sheetViews>
  <sheetFormatPr defaultRowHeight="15" x14ac:dyDescent="0.25"/>
  <cols>
    <col min="1" max="8" width="20.7109375" customWidth="1"/>
    <col min="9" max="11" width="20.7109375" style="7" customWidth="1"/>
  </cols>
  <sheetData>
    <row r="1" spans="1:11" x14ac:dyDescent="0.25">
      <c r="A1" t="s">
        <v>37</v>
      </c>
      <c r="B1" t="s">
        <v>33</v>
      </c>
      <c r="C1" t="s">
        <v>34</v>
      </c>
      <c r="D1" t="s">
        <v>35</v>
      </c>
      <c r="E1" t="s">
        <v>36</v>
      </c>
      <c r="F1" t="s">
        <v>34</v>
      </c>
      <c r="G1" t="s">
        <v>35</v>
      </c>
      <c r="H1" t="s">
        <v>36</v>
      </c>
    </row>
    <row r="2" spans="1:11" x14ac:dyDescent="0.25">
      <c r="A2" t="str">
        <f>ConsistentHashing!A2</f>
        <v>burstNorm_easy</v>
      </c>
      <c r="B2">
        <f>ConsistentHashing!F2</f>
        <v>66.60450246436659</v>
      </c>
      <c r="C2">
        <f>LeastConnections!F2</f>
        <v>66.613375965893951</v>
      </c>
      <c r="D2">
        <f>RoundRobin!F2</f>
        <v>66.631130063965884</v>
      </c>
      <c r="E2">
        <f>WeightRoundRobin!F2</f>
        <v>66.622251832111928</v>
      </c>
      <c r="F2">
        <f>I2/$B2*100</f>
        <v>-1.3322675193180297E-2</v>
      </c>
      <c r="G2">
        <f t="shared" ref="G2:H2" si="0">J2/$B2*100</f>
        <v>-3.9978678038380275E-2</v>
      </c>
      <c r="H2">
        <f t="shared" si="0"/>
        <v>-2.6648900732851102E-2</v>
      </c>
      <c r="I2" s="7">
        <f>$B2-C2</f>
        <v>-8.8735015273613271E-3</v>
      </c>
      <c r="J2" s="7">
        <f>$B2-D2</f>
        <v>-2.6627599599294172E-2</v>
      </c>
      <c r="K2" s="7">
        <f>$B2-E2</f>
        <v>-1.7749367745338418E-2</v>
      </c>
    </row>
    <row r="3" spans="1:11" x14ac:dyDescent="0.25">
      <c r="A3" t="str">
        <f>ConsistentHashing!A3</f>
        <v>burstNorm_medium</v>
      </c>
      <c r="B3">
        <f>ConsistentHashing!F3</f>
        <v>48.870677593443929</v>
      </c>
      <c r="C3">
        <f>LeastConnections!F3</f>
        <v>46.643003549467579</v>
      </c>
      <c r="D3">
        <f>RoundRobin!F3</f>
        <v>45.116162877841617</v>
      </c>
      <c r="E3">
        <f>WeightRoundRobin!F3</f>
        <v>49.97501249375312</v>
      </c>
      <c r="F3">
        <f t="shared" ref="F3:F27" si="1">I3/$B3*100</f>
        <v>4.5583039844636728</v>
      </c>
      <c r="G3">
        <f t="shared" ref="G3:G27" si="2">J3/$B3*100</f>
        <v>7.6825509702079211</v>
      </c>
      <c r="H3">
        <f t="shared" ref="H3:H27" si="3">K3/$B3*100</f>
        <v>-2.2597085915120165</v>
      </c>
      <c r="I3" s="7">
        <f>$B3-C3</f>
        <v>2.22767404397635</v>
      </c>
      <c r="J3" s="7">
        <f>$B3-D3</f>
        <v>3.754514715602312</v>
      </c>
      <c r="K3" s="7">
        <f>$B3-E3</f>
        <v>-1.1043349003091905</v>
      </c>
    </row>
    <row r="4" spans="1:11" x14ac:dyDescent="0.25">
      <c r="A4" t="str">
        <f>ConsistentHashing!A4</f>
        <v>burstNorm_hard</v>
      </c>
      <c r="B4">
        <f>ConsistentHashing!F4</f>
        <v>8.4327711485900938</v>
      </c>
      <c r="C4">
        <f>LeastConnections!F4</f>
        <v>8.4652557907015495</v>
      </c>
      <c r="D4">
        <f>RoundRobin!F4</f>
        <v>8.463563360101297</v>
      </c>
      <c r="E4">
        <f>WeightRoundRobin!F4</f>
        <v>8.3655512598320225</v>
      </c>
      <c r="F4">
        <f t="shared" si="1"/>
        <v>-0.38521906427980046</v>
      </c>
      <c r="G4">
        <f t="shared" si="2"/>
        <v>-0.3651493793514296</v>
      </c>
      <c r="H4">
        <f t="shared" si="3"/>
        <v>0.79712691799195823</v>
      </c>
      <c r="I4" s="7">
        <f>$B4-C4</f>
        <v>-3.2484642111455742E-2</v>
      </c>
      <c r="J4" s="7">
        <f>$B4-D4</f>
        <v>-3.0792211511203149E-2</v>
      </c>
      <c r="K4" s="7">
        <f>$B4-E4</f>
        <v>6.7219888758071278E-2</v>
      </c>
    </row>
    <row r="5" spans="1:11" x14ac:dyDescent="0.25">
      <c r="A5" t="str">
        <f>ConsistentHashing!A5</f>
        <v>burstNormHMS_easy</v>
      </c>
      <c r="B5">
        <f>ConsistentHashing!F5</f>
        <v>66.635570067301927</v>
      </c>
      <c r="C5">
        <f>LeastConnections!F5</f>
        <v>66.644451849383529</v>
      </c>
      <c r="D5">
        <f>RoundRobin!F5</f>
        <v>66.657778962804954</v>
      </c>
      <c r="E5">
        <f>WeightRoundRobin!F5</f>
        <v>66.644451849383529</v>
      </c>
      <c r="F5">
        <f>I5/$B5*100</f>
        <v>-1.3328890369859882E-2</v>
      </c>
      <c r="G5">
        <f t="shared" si="2"/>
        <v>-3.3328889481393058E-2</v>
      </c>
      <c r="H5">
        <f t="shared" si="3"/>
        <v>-1.3328890369859882E-2</v>
      </c>
      <c r="I5" s="7">
        <f>$B5-C5</f>
        <v>-8.8817820816018411E-3</v>
      </c>
      <c r="J5" s="7">
        <f>$B5-D5</f>
        <v>-2.2208895503027293E-2</v>
      </c>
      <c r="K5" s="7">
        <f>$B5-E5</f>
        <v>-8.8817820816018411E-3</v>
      </c>
    </row>
    <row r="6" spans="1:11" x14ac:dyDescent="0.25">
      <c r="A6" t="str">
        <f>ConsistentHashing!A6</f>
        <v>burstNormHMS_medium</v>
      </c>
      <c r="B6">
        <f>ConsistentHashing!F6</f>
        <v>43.386983904828547</v>
      </c>
      <c r="C6">
        <f>LeastConnections!F6</f>
        <v>49.960031974420467</v>
      </c>
      <c r="D6">
        <f>RoundRobin!F6</f>
        <v>49.962528103922047</v>
      </c>
      <c r="E6">
        <f>WeightRoundRobin!F6</f>
        <v>49.980007996801277</v>
      </c>
      <c r="F6">
        <f t="shared" si="1"/>
        <v>-15.149815631365893</v>
      </c>
      <c r="G6">
        <f t="shared" si="2"/>
        <v>-15.155568807265505</v>
      </c>
      <c r="H6">
        <f t="shared" si="3"/>
        <v>-15.195857141014567</v>
      </c>
      <c r="I6" s="7">
        <f>$B6-C6</f>
        <v>-6.5730480695919198</v>
      </c>
      <c r="J6" s="7">
        <f>$B6-D6</f>
        <v>-6.5755441990934997</v>
      </c>
      <c r="K6" s="7">
        <f>$B6-E6</f>
        <v>-6.5930240919727297</v>
      </c>
    </row>
    <row r="7" spans="1:11" x14ac:dyDescent="0.25">
      <c r="A7" t="str">
        <f>ConsistentHashing!A7</f>
        <v>burstNormHMS_hard</v>
      </c>
      <c r="B7">
        <f>ConsistentHashing!F7</f>
        <v>6.7317625887292962</v>
      </c>
      <c r="C7">
        <f>LeastConnections!F7</f>
        <v>6.7310896367877371</v>
      </c>
      <c r="D7">
        <f>RoundRobin!F7</f>
        <v>6.7317625887292962</v>
      </c>
      <c r="E7">
        <f>WeightRoundRobin!F7</f>
        <v>6.6660000666600014</v>
      </c>
      <c r="F7">
        <f t="shared" si="1"/>
        <v>9.9966677774084908E-3</v>
      </c>
      <c r="G7">
        <f t="shared" si="2"/>
        <v>0</v>
      </c>
      <c r="H7">
        <f t="shared" si="3"/>
        <v>0.97689900976897448</v>
      </c>
      <c r="I7" s="7">
        <f>$B7-C7</f>
        <v>6.7295194155914118E-4</v>
      </c>
      <c r="J7" s="7">
        <f>$B7-D7</f>
        <v>0</v>
      </c>
      <c r="K7" s="7">
        <f>$B7-E7</f>
        <v>6.5762522069294782E-2</v>
      </c>
    </row>
    <row r="8" spans="1:11" x14ac:dyDescent="0.25">
      <c r="A8" t="str">
        <f>ConsistentHashing!A8</f>
        <v>churnHMS</v>
      </c>
      <c r="B8">
        <f>ConsistentHashing!F8</f>
        <v>27.5972402759724</v>
      </c>
      <c r="C8">
        <f>LeastConnections!F8</f>
        <v>30.257589389849709</v>
      </c>
      <c r="D8">
        <f>RoundRobin!F8</f>
        <v>29.819417605117611</v>
      </c>
      <c r="E8">
        <f>WeightRoundRobin!F8</f>
        <v>29.661723046158979</v>
      </c>
      <c r="F8">
        <f t="shared" si="1"/>
        <v>-9.6399099593793398</v>
      </c>
      <c r="G8">
        <f t="shared" si="2"/>
        <v>-8.0521722712975574</v>
      </c>
      <c r="H8">
        <f t="shared" si="3"/>
        <v>-7.4807580379115874</v>
      </c>
      <c r="I8" s="7">
        <f>$B8-C8</f>
        <v>-2.6603491138773094</v>
      </c>
      <c r="J8" s="7">
        <f>$B8-D8</f>
        <v>-2.2221773291452109</v>
      </c>
      <c r="K8" s="7">
        <f>$B8-E8</f>
        <v>-2.0644827701865793</v>
      </c>
    </row>
    <row r="9" spans="1:11" x14ac:dyDescent="0.25">
      <c r="A9" t="str">
        <f>ConsistentHashing!A9</f>
        <v>churnGood</v>
      </c>
      <c r="B9">
        <f>ConsistentHashing!F9</f>
        <v>18.456208148715731</v>
      </c>
      <c r="C9">
        <f>LeastConnections!F9</f>
        <v>24.52597554067113</v>
      </c>
      <c r="D9">
        <f>RoundRobin!F9</f>
        <v>23.158947017660779</v>
      </c>
      <c r="E9">
        <f>WeightRoundRobin!F9</f>
        <v>24.221222721972349</v>
      </c>
      <c r="F9">
        <f t="shared" si="1"/>
        <v>-32.887402130744611</v>
      </c>
      <c r="G9">
        <f t="shared" si="2"/>
        <v>-25.480525745329146</v>
      </c>
      <c r="H9">
        <f t="shared" si="3"/>
        <v>-31.23618094683102</v>
      </c>
      <c r="I9" s="7">
        <f>$B9-C9</f>
        <v>-6.0697673919553985</v>
      </c>
      <c r="J9" s="7">
        <f>$B9-D9</f>
        <v>-4.7027388689450476</v>
      </c>
      <c r="K9" s="7">
        <f>$B9-E9</f>
        <v>-5.765014573256618</v>
      </c>
    </row>
    <row r="10" spans="1:11" x14ac:dyDescent="0.25">
      <c r="A10" t="str">
        <f>ConsistentHashing!A10</f>
        <v>churnBad</v>
      </c>
      <c r="B10">
        <f>ConsistentHashing!F10</f>
        <v>27.423278131351839</v>
      </c>
      <c r="C10">
        <f>LeastConnections!F10</f>
        <v>31.06563114562848</v>
      </c>
      <c r="D10">
        <f>RoundRobin!F10</f>
        <v>29.997000299970001</v>
      </c>
      <c r="E10">
        <f>WeightRoundRobin!F10</f>
        <v>30.759489452461089</v>
      </c>
      <c r="F10">
        <f t="shared" si="1"/>
        <v>-13.281975250480709</v>
      </c>
      <c r="G10">
        <f t="shared" si="2"/>
        <v>-9.3851732688213403</v>
      </c>
      <c r="H10">
        <f t="shared" si="3"/>
        <v>-12.165618220876025</v>
      </c>
      <c r="I10" s="7">
        <f>$B10-C10</f>
        <v>-3.6423530142766403</v>
      </c>
      <c r="J10" s="7">
        <f>$B10-D10</f>
        <v>-2.5737221686181613</v>
      </c>
      <c r="K10" s="7">
        <f>$B10-E10</f>
        <v>-3.3362113211092499</v>
      </c>
    </row>
    <row r="11" spans="1:11" x14ac:dyDescent="0.25">
      <c r="A11" t="str">
        <f>ConsistentHashing!A11</f>
        <v>perfect_easy</v>
      </c>
      <c r="B11">
        <f>ConsistentHashing!F11</f>
        <v>66.586762551604735</v>
      </c>
      <c r="C11">
        <f>LeastConnections!F11</f>
        <v>66.586762551604735</v>
      </c>
      <c r="D11">
        <f>RoundRobin!F11</f>
        <v>66.653335999466776</v>
      </c>
      <c r="E11">
        <f>WeightRoundRobin!F11</f>
        <v>66.657778962804954</v>
      </c>
      <c r="F11">
        <f t="shared" si="1"/>
        <v>0</v>
      </c>
      <c r="G11">
        <f t="shared" si="2"/>
        <v>-9.9980003999212849E-2</v>
      </c>
      <c r="H11">
        <f t="shared" si="3"/>
        <v>-0.10665244634048884</v>
      </c>
      <c r="I11" s="7">
        <f>$B11-C11</f>
        <v>0</v>
      </c>
      <c r="J11" s="7">
        <f>$B11-D11</f>
        <v>-6.657344786204078E-2</v>
      </c>
      <c r="K11" s="7">
        <f>$B11-E11</f>
        <v>-7.1016411200218954E-2</v>
      </c>
    </row>
    <row r="12" spans="1:11" x14ac:dyDescent="0.25">
      <c r="A12" t="str">
        <f>ConsistentHashing!A12</f>
        <v>perfect_medium</v>
      </c>
      <c r="B12">
        <f>ConsistentHashing!F12</f>
        <v>56.177528988404639</v>
      </c>
      <c r="C12">
        <f>LeastConnections!F12</f>
        <v>66.631130063965884</v>
      </c>
      <c r="D12">
        <f>RoundRobin!F12</f>
        <v>66.640010662401707</v>
      </c>
      <c r="E12">
        <f>WeightRoundRobin!F12</f>
        <v>66.608938919603006</v>
      </c>
      <c r="F12">
        <f t="shared" si="1"/>
        <v>-18.60815394304532</v>
      </c>
      <c r="G12">
        <f t="shared" si="2"/>
        <v>-18.623962040332149</v>
      </c>
      <c r="H12">
        <f t="shared" si="3"/>
        <v>-18.568652126638515</v>
      </c>
      <c r="I12" s="7">
        <f>$B12-C12</f>
        <v>-10.453601075561245</v>
      </c>
      <c r="J12" s="7">
        <f>$B12-D12</f>
        <v>-10.462481673997068</v>
      </c>
      <c r="K12" s="7">
        <f>$B12-E12</f>
        <v>-10.431409931198367</v>
      </c>
    </row>
    <row r="13" spans="1:11" x14ac:dyDescent="0.25">
      <c r="A13" t="str">
        <f>ConsistentHashing!A13</f>
        <v>perfect_hard</v>
      </c>
      <c r="B13">
        <f>ConsistentHashing!F13</f>
        <v>5.3287151135682409</v>
      </c>
      <c r="C13">
        <f>LeastConnections!F13</f>
        <v>6.6617813603357554</v>
      </c>
      <c r="D13">
        <f>RoundRobin!F13</f>
        <v>6.6635570067301924</v>
      </c>
      <c r="E13">
        <f>WeightRoundRobin!F13</f>
        <v>6.2654135839498766</v>
      </c>
      <c r="F13">
        <f t="shared" si="1"/>
        <v>-25.016654453400868</v>
      </c>
      <c r="G13">
        <f t="shared" si="2"/>
        <v>-25.049976677550472</v>
      </c>
      <c r="H13">
        <f t="shared" si="3"/>
        <v>-17.578317669799372</v>
      </c>
      <c r="I13" s="7">
        <f>$B13-C13</f>
        <v>-1.3330662467675145</v>
      </c>
      <c r="J13" s="7">
        <f>$B13-D13</f>
        <v>-1.3348418931619515</v>
      </c>
      <c r="K13" s="7">
        <f>$B13-E13</f>
        <v>-0.93669847038163567</v>
      </c>
    </row>
    <row r="14" spans="1:11" x14ac:dyDescent="0.25">
      <c r="A14" t="str">
        <f>ConsistentHashing!A14</f>
        <v>stickyDefault</v>
      </c>
      <c r="B14">
        <f>ConsistentHashing!F14</f>
        <v>25.529929342754301</v>
      </c>
      <c r="C14">
        <f>LeastConnections!F14</f>
        <v>25.852878464818769</v>
      </c>
      <c r="D14">
        <f>RoundRobin!F14</f>
        <v>25.581240423689291</v>
      </c>
      <c r="E14">
        <f>WeightRoundRobin!F14</f>
        <v>25.661534359794711</v>
      </c>
      <c r="F14">
        <f t="shared" si="1"/>
        <v>-1.2649824358253661</v>
      </c>
      <c r="G14">
        <f t="shared" si="2"/>
        <v>-0.20098403033595968</v>
      </c>
      <c r="H14">
        <f t="shared" si="3"/>
        <v>-0.51549307196873018</v>
      </c>
      <c r="I14" s="7">
        <f>$B14-C14</f>
        <v>-0.32294912206446824</v>
      </c>
      <c r="J14" s="7">
        <f>$B14-D14</f>
        <v>-5.1311080934990372E-2</v>
      </c>
      <c r="K14" s="7">
        <f>$B14-E14</f>
        <v>-0.13160501704041039</v>
      </c>
    </row>
    <row r="15" spans="1:11" x14ac:dyDescent="0.25">
      <c r="A15" t="str">
        <f>ConsistentHashing!A15</f>
        <v>stickyChurn</v>
      </c>
      <c r="B15">
        <f>ConsistentHashing!F15</f>
        <v>22.31250832556281</v>
      </c>
      <c r="C15">
        <f>LeastConnections!F15</f>
        <v>24.386993603411511</v>
      </c>
      <c r="D15">
        <f>RoundRobin!F15</f>
        <v>23.846000133217881</v>
      </c>
      <c r="E15">
        <f>WeightRoundRobin!F15</f>
        <v>24.053837953091691</v>
      </c>
      <c r="F15">
        <f t="shared" si="1"/>
        <v>-9.2974095407822102</v>
      </c>
      <c r="G15">
        <f t="shared" si="2"/>
        <v>-6.8727898507860417</v>
      </c>
      <c r="H15">
        <f t="shared" si="3"/>
        <v>-7.8042755306622729</v>
      </c>
      <c r="I15" s="7">
        <f>$B15-C15</f>
        <v>-2.0744852778487015</v>
      </c>
      <c r="J15" s="7">
        <f>$B15-D15</f>
        <v>-1.5334918076550714</v>
      </c>
      <c r="K15" s="7">
        <f>$B15-E15</f>
        <v>-1.7413296275288808</v>
      </c>
    </row>
    <row r="16" spans="1:11" x14ac:dyDescent="0.25">
      <c r="A16" t="str">
        <f>ConsistentHashing!A16</f>
        <v>uniform_easy</v>
      </c>
      <c r="B16">
        <f>ConsistentHashing!F16</f>
        <v>66.600066600066597</v>
      </c>
      <c r="C16">
        <f>LeastConnections!F16</f>
        <v>66.6266906522753</v>
      </c>
      <c r="D16">
        <f>RoundRobin!F16</f>
        <v>66.608938919603006</v>
      </c>
      <c r="E16">
        <f>WeightRoundRobin!F16</f>
        <v>66.648893628365769</v>
      </c>
      <c r="F16">
        <f t="shared" si="1"/>
        <v>-3.9976014391367734E-2</v>
      </c>
      <c r="G16">
        <f t="shared" si="2"/>
        <v>-1.3321787783916931E-2</v>
      </c>
      <c r="H16">
        <f t="shared" si="3"/>
        <v>-7.3313782991206861E-2</v>
      </c>
      <c r="I16" s="7">
        <f>$B16-C16</f>
        <v>-2.662405220870312E-2</v>
      </c>
      <c r="J16" s="7">
        <f>$B16-D16</f>
        <v>-8.872319536408213E-3</v>
      </c>
      <c r="K16" s="7">
        <f>$B16-E16</f>
        <v>-4.8827028299172071E-2</v>
      </c>
    </row>
    <row r="17" spans="1:11" x14ac:dyDescent="0.25">
      <c r="A17" t="str">
        <f>ConsistentHashing!A17</f>
        <v>uniform_medium</v>
      </c>
      <c r="B17">
        <f>ConsistentHashing!F17</f>
        <v>64.198188598827912</v>
      </c>
      <c r="C17">
        <f>LeastConnections!F17</f>
        <v>66.600066600066597</v>
      </c>
      <c r="D17">
        <f>RoundRobin!F17</f>
        <v>59.301705756929643</v>
      </c>
      <c r="E17">
        <f>WeightRoundRobin!F17</f>
        <v>66.640010662401707</v>
      </c>
      <c r="F17">
        <f t="shared" si="1"/>
        <v>-3.7413485546265668</v>
      </c>
      <c r="G17">
        <f t="shared" si="2"/>
        <v>7.6271355138946495</v>
      </c>
      <c r="H17">
        <f t="shared" si="3"/>
        <v>-3.8035684757908834</v>
      </c>
      <c r="I17" s="7">
        <f>$B17-C17</f>
        <v>-2.4018780012386856</v>
      </c>
      <c r="J17" s="7">
        <f>$B17-D17</f>
        <v>4.8964828418982691</v>
      </c>
      <c r="K17" s="7">
        <f>$B17-E17</f>
        <v>-2.4418220635737953</v>
      </c>
    </row>
    <row r="18" spans="1:11" x14ac:dyDescent="0.25">
      <c r="A18" t="str">
        <f>ConsistentHashing!A18</f>
        <v>uniform_hard</v>
      </c>
      <c r="B18">
        <f>ConsistentHashing!F18</f>
        <v>5.9952038369304557</v>
      </c>
      <c r="C18">
        <f>LeastConnections!F18</f>
        <v>6.6604502464366604</v>
      </c>
      <c r="D18">
        <f>RoundRobin!F18</f>
        <v>5.8658845487268358</v>
      </c>
      <c r="E18">
        <f>WeightRoundRobin!F18</f>
        <v>6.527676014121095</v>
      </c>
      <c r="F18">
        <f t="shared" si="1"/>
        <v>-11.096310110563495</v>
      </c>
      <c r="G18">
        <f t="shared" si="2"/>
        <v>2.1570457272363788</v>
      </c>
      <c r="H18">
        <f t="shared" si="3"/>
        <v>-8.8816359155398636</v>
      </c>
      <c r="I18" s="7">
        <f>$B18-C18</f>
        <v>-0.66524640950620473</v>
      </c>
      <c r="J18" s="7">
        <f>$B18-D18</f>
        <v>0.12931928820361982</v>
      </c>
      <c r="K18" s="7">
        <f>$B18-E18</f>
        <v>-0.53247217719063933</v>
      </c>
    </row>
    <row r="19" spans="1:11" x14ac:dyDescent="0.25">
      <c r="A19" t="str">
        <f>ConsistentHashing!A19</f>
        <v>uniformD_easy</v>
      </c>
      <c r="B19">
        <f>ConsistentHashing!F19</f>
        <v>66.635570067301927</v>
      </c>
      <c r="C19">
        <f>LeastConnections!F19</f>
        <v>66.653335999466776</v>
      </c>
      <c r="D19">
        <f>RoundRobin!F19</f>
        <v>66.600066600066597</v>
      </c>
      <c r="E19">
        <f>WeightRoundRobin!F19</f>
        <v>66.635570067301927</v>
      </c>
      <c r="F19">
        <f t="shared" si="1"/>
        <v>-2.6661334399789075E-2</v>
      </c>
      <c r="G19">
        <f t="shared" si="2"/>
        <v>5.3280053280059463E-2</v>
      </c>
      <c r="H19">
        <f t="shared" si="3"/>
        <v>0</v>
      </c>
      <c r="I19" s="7">
        <f>$B19-C19</f>
        <v>-1.7765932164849119E-2</v>
      </c>
      <c r="J19" s="7">
        <f>$B19-D19</f>
        <v>3.5503467235329822E-2</v>
      </c>
      <c r="K19" s="7">
        <f>$B19-E19</f>
        <v>0</v>
      </c>
    </row>
    <row r="20" spans="1:11" x14ac:dyDescent="0.25">
      <c r="A20" t="str">
        <f>ConsistentHashing!A20</f>
        <v>uniformD_medium</v>
      </c>
      <c r="B20">
        <f>ConsistentHashing!F20</f>
        <v>64.307610289217649</v>
      </c>
      <c r="C20">
        <f>LeastConnections!F20</f>
        <v>66.653335999466776</v>
      </c>
      <c r="D20">
        <f>RoundRobin!F20</f>
        <v>59.454775711524363</v>
      </c>
      <c r="E20">
        <f>WeightRoundRobin!F20</f>
        <v>66.653335999466776</v>
      </c>
      <c r="F20">
        <f t="shared" si="1"/>
        <v>-3.6476642495335123</v>
      </c>
      <c r="G20">
        <f t="shared" si="2"/>
        <v>7.5462834894161102</v>
      </c>
      <c r="H20">
        <f t="shared" si="3"/>
        <v>-3.6476642495335123</v>
      </c>
      <c r="I20" s="7">
        <f>$B20-C20</f>
        <v>-2.3457257102491269</v>
      </c>
      <c r="J20" s="7">
        <f>$B20-D20</f>
        <v>4.8528345776932866</v>
      </c>
      <c r="K20" s="7">
        <f>$B20-E20</f>
        <v>-2.3457257102491269</v>
      </c>
    </row>
    <row r="21" spans="1:11" x14ac:dyDescent="0.25">
      <c r="A21" t="str">
        <f>ConsistentHashing!A21</f>
        <v>uniformD_hard</v>
      </c>
      <c r="B21">
        <f>ConsistentHashing!F21</f>
        <v>5.5992534328756163</v>
      </c>
      <c r="C21">
        <f>LeastConnections!F21</f>
        <v>6.5982404692082124</v>
      </c>
      <c r="D21">
        <f>RoundRobin!F21</f>
        <v>5.9325423276896414</v>
      </c>
      <c r="E21">
        <f>WeightRoundRobin!F21</f>
        <v>6.3953101059223236</v>
      </c>
      <c r="F21">
        <f t="shared" si="1"/>
        <v>-17.84143276078763</v>
      </c>
      <c r="G21">
        <f t="shared" si="2"/>
        <v>-5.9523809523809579</v>
      </c>
      <c r="H21">
        <f t="shared" si="3"/>
        <v>-14.217193106007981</v>
      </c>
      <c r="I21" s="7">
        <f>$B21-C21</f>
        <v>-0.99898703633259611</v>
      </c>
      <c r="J21" s="7">
        <f>$B21-D21</f>
        <v>-0.33328889481402513</v>
      </c>
      <c r="K21" s="7">
        <f>$B21-E21</f>
        <v>-0.79605667304670735</v>
      </c>
    </row>
    <row r="22" spans="1:11" x14ac:dyDescent="0.25">
      <c r="A22" t="str">
        <f>ConsistentHashing!A22</f>
        <v>varReqCost_easy</v>
      </c>
      <c r="B22">
        <f>ConsistentHashing!F22</f>
        <v>63.974410235905637</v>
      </c>
      <c r="C22">
        <f>LeastConnections!F22</f>
        <v>66.595631326584979</v>
      </c>
      <c r="D22">
        <f>RoundRobin!F22</f>
        <v>58.419930722088992</v>
      </c>
      <c r="E22">
        <f>WeightRoundRobin!F22</f>
        <v>66.640010662401707</v>
      </c>
      <c r="F22">
        <f t="shared" si="1"/>
        <v>-4.0972962173681458</v>
      </c>
      <c r="G22">
        <f t="shared" si="2"/>
        <v>8.6823457900346437</v>
      </c>
      <c r="H22">
        <f t="shared" si="3"/>
        <v>-4.1666666666666696</v>
      </c>
      <c r="I22" s="7">
        <f>$B22-C22</f>
        <v>-2.6212210906793416</v>
      </c>
      <c r="J22" s="7">
        <f>$B22-D22</f>
        <v>5.554479513816645</v>
      </c>
      <c r="K22" s="7">
        <f>$B22-E22</f>
        <v>-2.66560042649607</v>
      </c>
    </row>
    <row r="23" spans="1:11" x14ac:dyDescent="0.25">
      <c r="A23" t="str">
        <f>ConsistentHashing!A23</f>
        <v>varReqCost_medium</v>
      </c>
      <c r="B23">
        <f>ConsistentHashing!F23</f>
        <v>12.52498334443704</v>
      </c>
      <c r="C23">
        <f>LeastConnections!F23</f>
        <v>13.256061817212901</v>
      </c>
      <c r="D23">
        <f>RoundRobin!F23</f>
        <v>11.92141192141192</v>
      </c>
      <c r="E23">
        <f>WeightRoundRobin!F23</f>
        <v>13.255178845001</v>
      </c>
      <c r="F23">
        <f t="shared" si="1"/>
        <v>-5.8369616363647232</v>
      </c>
      <c r="G23">
        <f t="shared" si="2"/>
        <v>4.8189399253228959</v>
      </c>
      <c r="H23">
        <f t="shared" si="3"/>
        <v>-5.8299119486516195</v>
      </c>
      <c r="I23" s="7">
        <f>$B23-C23</f>
        <v>-0.73107847277586124</v>
      </c>
      <c r="J23" s="7">
        <f>$B23-D23</f>
        <v>0.60357142302511946</v>
      </c>
      <c r="K23" s="7">
        <f>$B23-E23</f>
        <v>-0.73019550056396021</v>
      </c>
    </row>
    <row r="24" spans="1:11" x14ac:dyDescent="0.25">
      <c r="A24" t="str">
        <f>ConsistentHashing!A24</f>
        <v>varReqCost_hard</v>
      </c>
      <c r="B24">
        <f>ConsistentHashing!F24</f>
        <v>6.9790229367888497</v>
      </c>
      <c r="C24">
        <f>LeastConnections!F24</f>
        <v>6.8380853361058902</v>
      </c>
      <c r="D24">
        <f>RoundRobin!F24</f>
        <v>6.0585459489722462</v>
      </c>
      <c r="E24">
        <f>WeightRoundRobin!F24</f>
        <v>6.7595944243345398</v>
      </c>
      <c r="F24">
        <f t="shared" si="1"/>
        <v>2.0194460164334536</v>
      </c>
      <c r="G24">
        <f t="shared" si="2"/>
        <v>13.189195624568736</v>
      </c>
      <c r="H24">
        <f t="shared" si="3"/>
        <v>3.1441150780236882</v>
      </c>
      <c r="I24" s="7">
        <f>$B24-C24</f>
        <v>0.14093760068295946</v>
      </c>
      <c r="J24" s="7">
        <f>$B24-D24</f>
        <v>0.92047698781660348</v>
      </c>
      <c r="K24" s="7">
        <f>$B24-E24</f>
        <v>0.21942851245430983</v>
      </c>
    </row>
    <row r="25" spans="1:11" x14ac:dyDescent="0.25">
      <c r="A25" t="str">
        <f>ConsistentHashing!A25</f>
        <v>varReqCostHMS_easy</v>
      </c>
      <c r="B25">
        <f>ConsistentHashing!F25</f>
        <v>55.62587435880355</v>
      </c>
      <c r="C25">
        <f>LeastConnections!F25</f>
        <v>66.631130063965884</v>
      </c>
      <c r="D25">
        <f>RoundRobin!F25</f>
        <v>66.617813603357547</v>
      </c>
      <c r="E25">
        <f>WeightRoundRobin!F25</f>
        <v>66.653335999466776</v>
      </c>
      <c r="F25">
        <f t="shared" si="1"/>
        <v>-19.78441837008285</v>
      </c>
      <c r="G25">
        <f t="shared" si="2"/>
        <v>-19.76047904191617</v>
      </c>
      <c r="H25">
        <f t="shared" si="3"/>
        <v>-19.824338525508463</v>
      </c>
      <c r="I25" s="7">
        <f>$B25-C25</f>
        <v>-11.005255705162334</v>
      </c>
      <c r="J25" s="7">
        <f>$B25-D25</f>
        <v>-10.991939244553997</v>
      </c>
      <c r="K25" s="7">
        <f>$B25-E25</f>
        <v>-11.027461640663226</v>
      </c>
    </row>
    <row r="26" spans="1:11" x14ac:dyDescent="0.25">
      <c r="A26" t="str">
        <f>ConsistentHashing!A26</f>
        <v>varReqCostHMS_medium</v>
      </c>
      <c r="B26">
        <f>ConsistentHashing!F26</f>
        <v>10.661691210768311</v>
      </c>
      <c r="C26">
        <f>LeastConnections!F26</f>
        <v>13.32622601279318</v>
      </c>
      <c r="D26">
        <f>RoundRobin!F26</f>
        <v>13.322675193178791</v>
      </c>
      <c r="E26">
        <f>WeightRoundRobin!F26</f>
        <v>13.122835065281111</v>
      </c>
      <c r="F26">
        <f t="shared" si="1"/>
        <v>-24.991671108742004</v>
      </c>
      <c r="G26">
        <f t="shared" si="2"/>
        <v>-24.958366640021289</v>
      </c>
      <c r="H26">
        <f t="shared" si="3"/>
        <v>-23.083991140420988</v>
      </c>
      <c r="I26" s="7">
        <f>$B26-C26</f>
        <v>-2.6645348020248694</v>
      </c>
      <c r="J26" s="7">
        <f>$B26-D26</f>
        <v>-2.66098398241048</v>
      </c>
      <c r="K26" s="7">
        <f>$B26-E26</f>
        <v>-2.4611438545127999</v>
      </c>
    </row>
    <row r="27" spans="1:11" x14ac:dyDescent="0.25">
      <c r="A27" t="str">
        <f>ConsistentHashing!A27</f>
        <v>varReqCostHMS_hard</v>
      </c>
      <c r="B27">
        <f>ConsistentHashing!F27</f>
        <v>4.7591433541962447</v>
      </c>
      <c r="C27">
        <f>LeastConnections!F27</f>
        <v>5.8996460212387261</v>
      </c>
      <c r="D27">
        <f>RoundRobin!F27</f>
        <v>5.6992021117043619</v>
      </c>
      <c r="E27">
        <f>WeightRoundRobin!F27</f>
        <v>5.6798864022719551</v>
      </c>
      <c r="F27">
        <f t="shared" si="1"/>
        <v>-23.964452889129181</v>
      </c>
      <c r="G27">
        <f t="shared" si="2"/>
        <v>-19.752688405135896</v>
      </c>
      <c r="H27">
        <f t="shared" si="3"/>
        <v>-19.346823147570671</v>
      </c>
      <c r="I27" s="7">
        <f>$B27-C27</f>
        <v>-1.1405026670424814</v>
      </c>
      <c r="J27" s="7">
        <f>$B27-D27</f>
        <v>-0.94005875750811718</v>
      </c>
      <c r="K27" s="7">
        <f>$B27-E27</f>
        <v>-0.92074304807571039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RoundRobin</vt:lpstr>
      <vt:lpstr>WeightRoundRobin</vt:lpstr>
      <vt:lpstr>LeastConnections</vt:lpstr>
      <vt:lpstr>ConsistentHashing</vt:lpstr>
      <vt:lpstr>throughput_comparison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Гоша Погребицкий</cp:lastModifiedBy>
  <dcterms:created xsi:type="dcterms:W3CDTF">2026-06-24T02:41:19Z</dcterms:created>
  <dcterms:modified xsi:type="dcterms:W3CDTF">2026-06-24T10:46:41Z</dcterms:modified>
</cp:coreProperties>
</file>